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cnedunuri\Downloads\"/>
    </mc:Choice>
  </mc:AlternateContent>
  <xr:revisionPtr revIDLastSave="0" documentId="13_ncr:1_{8FA4795F-16B9-45D2-B272-C0DDABC36EED}" xr6:coauthVersionLast="47" xr6:coauthVersionMax="47" xr10:uidLastSave="{00000000-0000-0000-0000-000000000000}"/>
  <bookViews>
    <workbookView xWindow="2688" yWindow="2688" windowWidth="17280" windowHeight="10008" firstSheet="13" activeTab="14" xr2:uid="{00000000-000D-0000-FFFF-FFFF00000000}"/>
  </bookViews>
  <sheets>
    <sheet name="ESCRIBE" sheetId="10" r:id="rId1"/>
    <sheet name="DIB" sheetId="13" r:id="rId2"/>
    <sheet name="DIB3" sheetId="14" r:id="rId3"/>
    <sheet name="DIB3_1" sheetId="15" r:id="rId4"/>
    <sheet name="DIB3_2" sheetId="16" r:id="rId5"/>
    <sheet name="DIB3_AUX" sheetId="17" r:id="rId6"/>
    <sheet name="DIB5_1" sheetId="18" r:id="rId7"/>
    <sheet name="DIB5_2" sheetId="21" r:id="rId8"/>
    <sheet name="DIB5_AUX" sheetId="22" r:id="rId9"/>
    <sheet name="PBC" sheetId="23" r:id="rId10"/>
    <sheet name="WL_DIB" sheetId="19" r:id="rId11"/>
    <sheet name="WL_ESCRIBE" sheetId="20" r:id="rId12"/>
    <sheet name="WL_DIB3" sheetId="24" r:id="rId13"/>
    <sheet name="WL_DIB5" sheetId="25" r:id="rId14"/>
    <sheet name="WL_EPHARMACY" sheetId="26" r:id="rId15"/>
    <sheet name="Epharm_inventory" sheetId="8" r:id="rId16"/>
    <sheet name="dependency" sheetId="11" r:id="rId17"/>
    <sheet name="Sheet3" sheetId="12" r:id="rId18"/>
    <sheet name="SBMO" sheetId="1" r:id="rId19"/>
    <sheet name="Dep-SBMO" sheetId="6" r:id="rId20"/>
    <sheet name="sbmo_dep_roles" sheetId="7" r:id="rId21"/>
    <sheet name="EPS1608" sheetId="5" r:id="rId22"/>
    <sheet name="Sheet2" sheetId="4" r:id="rId23"/>
    <sheet name="EPS" sheetId="2" r:id="rId24"/>
    <sheet name="ARS" sheetId="9" r:id="rId25"/>
  </sheets>
  <definedNames>
    <definedName name="_xlnm._FilterDatabase" localSheetId="16" hidden="1">dependency!$A$1:$C$310</definedName>
    <definedName name="_xlnm._FilterDatabase" localSheetId="1" hidden="1">DIB!$N$1:$P$189</definedName>
    <definedName name="_xlnm._FilterDatabase" localSheetId="15" hidden="1">Epharm_inventory!$A$1:$C$46</definedName>
    <definedName name="_xlnm._FilterDatabase" localSheetId="21" hidden="1">'EPS1608'!$L$1:$U$183</definedName>
    <definedName name="_xlnm._FilterDatabase" localSheetId="17" hidden="1">Sheet3!$A$1:$C$46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8" l="1"/>
  <c r="H3" i="8"/>
  <c r="W180" i="5"/>
  <c r="W181" i="5"/>
  <c r="W182" i="5"/>
  <c r="W183" i="5"/>
  <c r="W179" i="5"/>
  <c r="W3" i="5"/>
  <c r="W4" i="5"/>
  <c r="W5" i="5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36" i="5"/>
  <c r="W37" i="5"/>
  <c r="W38" i="5"/>
  <c r="W39" i="5"/>
  <c r="W40" i="5"/>
  <c r="W41" i="5"/>
  <c r="W42" i="5"/>
  <c r="W43" i="5"/>
  <c r="W44" i="5"/>
  <c r="W45" i="5"/>
  <c r="W46" i="5"/>
  <c r="W47" i="5"/>
  <c r="W48" i="5"/>
  <c r="W49" i="5"/>
  <c r="W50" i="5"/>
  <c r="W51" i="5"/>
  <c r="W52" i="5"/>
  <c r="W53" i="5"/>
  <c r="W54" i="5"/>
  <c r="W55" i="5"/>
  <c r="W56" i="5"/>
  <c r="W57" i="5"/>
  <c r="W58" i="5"/>
  <c r="W59" i="5"/>
  <c r="W60" i="5"/>
  <c r="W61" i="5"/>
  <c r="W62" i="5"/>
  <c r="W63" i="5"/>
  <c r="W64" i="5"/>
  <c r="W65" i="5"/>
  <c r="W66" i="5"/>
  <c r="W67" i="5"/>
  <c r="W68" i="5"/>
  <c r="W69" i="5"/>
  <c r="W70" i="5"/>
  <c r="W71" i="5"/>
  <c r="W72" i="5"/>
  <c r="W73" i="5"/>
  <c r="W74" i="5"/>
  <c r="W75" i="5"/>
  <c r="W76" i="5"/>
  <c r="W77" i="5"/>
  <c r="W78" i="5"/>
  <c r="W79" i="5"/>
  <c r="W80" i="5"/>
  <c r="W81" i="5"/>
  <c r="W82" i="5"/>
  <c r="W83" i="5"/>
  <c r="W84" i="5"/>
  <c r="W85" i="5"/>
  <c r="W86" i="5"/>
  <c r="W87" i="5"/>
  <c r="W88" i="5"/>
  <c r="W89" i="5"/>
  <c r="W90" i="5"/>
  <c r="W91" i="5"/>
  <c r="W92" i="5"/>
  <c r="W93" i="5"/>
  <c r="W94" i="5"/>
  <c r="W95" i="5"/>
  <c r="W96" i="5"/>
  <c r="W97" i="5"/>
  <c r="W98" i="5"/>
  <c r="W99" i="5"/>
  <c r="W100" i="5"/>
  <c r="W101" i="5"/>
  <c r="W102" i="5"/>
  <c r="W103" i="5"/>
  <c r="W104" i="5"/>
  <c r="W105" i="5"/>
  <c r="W106" i="5"/>
  <c r="W107" i="5"/>
  <c r="W108" i="5"/>
  <c r="W109" i="5"/>
  <c r="W110" i="5"/>
  <c r="W111" i="5"/>
  <c r="W112" i="5"/>
  <c r="W113" i="5"/>
  <c r="W114" i="5"/>
  <c r="W115" i="5"/>
  <c r="W116" i="5"/>
  <c r="W117" i="5"/>
  <c r="W118" i="5"/>
  <c r="W119" i="5"/>
  <c r="W120" i="5"/>
  <c r="W121" i="5"/>
  <c r="W122" i="5"/>
  <c r="W123" i="5"/>
  <c r="W124" i="5"/>
  <c r="W125" i="5"/>
  <c r="W126" i="5"/>
  <c r="W127" i="5"/>
  <c r="W128" i="5"/>
  <c r="W129" i="5"/>
  <c r="W130" i="5"/>
  <c r="W131" i="5"/>
  <c r="W132" i="5"/>
  <c r="W133" i="5"/>
  <c r="W134" i="5"/>
  <c r="W135" i="5"/>
  <c r="W136" i="5"/>
  <c r="W137" i="5"/>
  <c r="W138" i="5"/>
  <c r="W139" i="5"/>
  <c r="W140" i="5"/>
  <c r="W141" i="5"/>
  <c r="W142" i="5"/>
  <c r="W143" i="5"/>
  <c r="W144" i="5"/>
  <c r="W145" i="5"/>
  <c r="W146" i="5"/>
  <c r="W147" i="5"/>
  <c r="W148" i="5"/>
  <c r="W149" i="5"/>
  <c r="W150" i="5"/>
  <c r="W151" i="5"/>
  <c r="W152" i="5"/>
  <c r="W153" i="5"/>
  <c r="W154" i="5"/>
  <c r="W155" i="5"/>
  <c r="W156" i="5"/>
  <c r="W157" i="5"/>
  <c r="W158" i="5"/>
  <c r="W159" i="5"/>
  <c r="W160" i="5"/>
  <c r="W161" i="5"/>
  <c r="W162" i="5"/>
  <c r="W163" i="5"/>
  <c r="W164" i="5"/>
  <c r="W165" i="5"/>
  <c r="W166" i="5"/>
  <c r="W167" i="5"/>
  <c r="W168" i="5"/>
  <c r="W169" i="5"/>
  <c r="W170" i="5"/>
  <c r="W171" i="5"/>
  <c r="W172" i="5"/>
  <c r="W173" i="5"/>
  <c r="W174" i="5"/>
  <c r="W175" i="5"/>
  <c r="W176" i="5"/>
  <c r="W177" i="5"/>
  <c r="W2" i="5"/>
  <c r="F20" i="4"/>
  <c r="F21" i="4"/>
  <c r="F22" i="4"/>
  <c r="F23" i="4"/>
  <c r="F19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2" i="4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2" i="2"/>
</calcChain>
</file>

<file path=xl/sharedStrings.xml><?xml version="1.0" encoding="utf-8"?>
<sst xmlns="http://schemas.openxmlformats.org/spreadsheetml/2006/main" count="3815" uniqueCount="804">
  <si>
    <t>OBJECT_TYPE</t>
  </si>
  <si>
    <t>OBJECT_COUNT</t>
  </si>
  <si>
    <t>INDEX</t>
  </si>
  <si>
    <t>INDEX PARTITION</t>
  </si>
  <si>
    <t>INDEX SUBPARTITION</t>
  </si>
  <si>
    <t>PACKAGE</t>
  </si>
  <si>
    <t>PACKAGE BODY</t>
  </si>
  <si>
    <t>PROCEDURE</t>
  </si>
  <si>
    <t>SEQUENCE</t>
  </si>
  <si>
    <t>TABLE</t>
  </si>
  <si>
    <t>TABLE PARTITION</t>
  </si>
  <si>
    <t>TABLE SUBPARTITION</t>
  </si>
  <si>
    <t>TRIGGER</t>
  </si>
  <si>
    <t>VIEW</t>
  </si>
  <si>
    <t>object_type</t>
  </si>
  <si>
    <t>object_count</t>
  </si>
  <si>
    <t>TABLE_NAME</t>
  </si>
  <si>
    <t>ADDRESSES</t>
  </si>
  <si>
    <t>ADJUSTMENT_CODES</t>
  </si>
  <si>
    <t>ADJUSTMENT_GROUP</t>
  </si>
  <si>
    <t>AUDIT_DBU_LOG</t>
  </si>
  <si>
    <t>AUDIT_LOG</t>
  </si>
  <si>
    <t>BIN_UPC_LINK</t>
  </si>
  <si>
    <t>CARRIER</t>
  </si>
  <si>
    <t>CF_SEC_CHAIN</t>
  </si>
  <si>
    <t>CF_SEC_STORE</t>
  </si>
  <si>
    <t>CHAINS</t>
  </si>
  <si>
    <t>CHARGE_PAYMENT_INFO</t>
  </si>
  <si>
    <t>CONTACTS</t>
  </si>
  <si>
    <t>CR18985_LOG</t>
  </si>
  <si>
    <t>CUSTOM_SCHEDULED_TASK</t>
  </si>
  <si>
    <t>DAILY_SCHEDULED_TASKS</t>
  </si>
  <si>
    <t>DASHBOARD_SETTINGS</t>
  </si>
  <si>
    <t>DASHBOARD_STATISTICS</t>
  </si>
  <si>
    <t>DISPENSERS</t>
  </si>
  <si>
    <t>DISPENSER_LOCATION</t>
  </si>
  <si>
    <t>DRUGS</t>
  </si>
  <si>
    <t>DRUG_ORDERS</t>
  </si>
  <si>
    <t>DRUG_ORDER_PRODUCT_VERIFY</t>
  </si>
  <si>
    <t>ENCRYPTION_KEYS</t>
  </si>
  <si>
    <t>ENCRYPTION_KEYS_AUDIT</t>
  </si>
  <si>
    <t>ENTITIES</t>
  </si>
  <si>
    <t>EXT_DRUG_LOAD</t>
  </si>
  <si>
    <t>FACILITIES</t>
  </si>
  <si>
    <t>FILLING_STATION</t>
  </si>
  <si>
    <t>FORMULARY</t>
  </si>
  <si>
    <t>FORMULARY_REORDER</t>
  </si>
  <si>
    <t>INVENTORY</t>
  </si>
  <si>
    <t>INVENTORY_AUDIT</t>
  </si>
  <si>
    <t>INVENTORY_DATE</t>
  </si>
  <si>
    <t>ITEM_LOCATION</t>
  </si>
  <si>
    <t>LABEL_IMAGES</t>
  </si>
  <si>
    <t>LOCATION</t>
  </si>
  <si>
    <t>MASTER_PRODUCT_PO_VERIFY</t>
  </si>
  <si>
    <t>MEDICAL_SUPPLIES</t>
  </si>
  <si>
    <t>MEDICAL_SUPPLIES_28MAY26</t>
  </si>
  <si>
    <t>MESSAGE_LOG</t>
  </si>
  <si>
    <t>MONTHLY_SCHEDULED_TASKS</t>
  </si>
  <si>
    <t>MUTEX</t>
  </si>
  <si>
    <t>MV_FORMULARY</t>
  </si>
  <si>
    <t>OBJECT_MAPPING</t>
  </si>
  <si>
    <t>ONCE_SCHEDULED_TASKS</t>
  </si>
  <si>
    <t>ORDERS</t>
  </si>
  <si>
    <t>PARTITION_SQL_HISTORY</t>
  </si>
  <si>
    <t>PARTITION_TABLE_LIST</t>
  </si>
  <si>
    <t>PDX_DBA_APPLIED</t>
  </si>
  <si>
    <t>PDX_SCHEMA_CONFIG</t>
  </si>
  <si>
    <t>PDX_SCHEMA_FILE_HASH</t>
  </si>
  <si>
    <t>PDX_SCHEMA_FILE_TASKVER</t>
  </si>
  <si>
    <t>PDX_SCHEMA_MAPPING</t>
  </si>
  <si>
    <t>PDX_SCHEMA_PRIV_DEFAULT</t>
  </si>
  <si>
    <t>PDX_SCHEMA_PRIV_EXCEPTION</t>
  </si>
  <si>
    <t>PDX_SCHEMA_PROCESS_HISTORY</t>
  </si>
  <si>
    <t>PDX_SCHEMA_TASKVER_META</t>
  </si>
  <si>
    <t>PDX_SCHEMA_TASK_ERROR_LOG</t>
  </si>
  <si>
    <t>PDX_SCHEMA_TASK_HISTORY</t>
  </si>
  <si>
    <t>PDX_SCHEMA_UPDATER_MANIFEST</t>
  </si>
  <si>
    <t>PDX_SCHEMA_UPDATER_SQL</t>
  </si>
  <si>
    <t>PDX_SCHEMA_UPD_HELPER_DEBUG_D</t>
  </si>
  <si>
    <t>PDX_SCHEMA_UPD_HELPER_DEBUG_H</t>
  </si>
  <si>
    <t>PDX_SCHEMA_UPD_PKGCALL_ERR_LOG</t>
  </si>
  <si>
    <t>PDX_SCHEMA_UPD_PKGCALL_HIST</t>
  </si>
  <si>
    <t>PDX_SCHEMA_VERSION_ERROR_LOG</t>
  </si>
  <si>
    <t>PDX_SCHEMA_VERSION_HISTORY</t>
  </si>
  <si>
    <t>PHONES</t>
  </si>
  <si>
    <t>PHONE_ADDRESS_OWNERS</t>
  </si>
  <si>
    <t>PRESTATS_INVENTORY</t>
  </si>
  <si>
    <t>PRESTATS_ORDERS</t>
  </si>
  <si>
    <t>PRESTATS_RX_CORES</t>
  </si>
  <si>
    <t>PRIORITY_CHANGE_ALERTS</t>
  </si>
  <si>
    <t>PURCHASE_ORDER</t>
  </si>
  <si>
    <t>PURCHASE_ORDER_GROUP</t>
  </si>
  <si>
    <t>PURGE_CONFIG_SETTINGS</t>
  </si>
  <si>
    <t>PURGE_ERROR_LOG</t>
  </si>
  <si>
    <t>PURGE_HISTORY</t>
  </si>
  <si>
    <t>PURGE_HISTORY_CHUNKS</t>
  </si>
  <si>
    <t>PURGE_HISTORY_PARTITIONS</t>
  </si>
  <si>
    <t>PURGE_RUN_CHECK</t>
  </si>
  <si>
    <t>PURGE_TABLES</t>
  </si>
  <si>
    <t>QRTZ_BLOB_TRIGGERS</t>
  </si>
  <si>
    <t>QRTZ_CALENDARS</t>
  </si>
  <si>
    <t>QRTZ_CRON_TRIGGERS</t>
  </si>
  <si>
    <t>QRTZ_FIRED_TRIGGERS</t>
  </si>
  <si>
    <t>QRTZ_JOB_DETAILS</t>
  </si>
  <si>
    <t>QRTZ_LOCKS</t>
  </si>
  <si>
    <t>QRTZ_PAUSED_TRIGGER_GRPS</t>
  </si>
  <si>
    <t>QRTZ_SCHEDULER_STATE</t>
  </si>
  <si>
    <t>QRTZ_SIMPLE_TRIGGERS</t>
  </si>
  <si>
    <t>QRTZ_SIMPROP_TRIGGERS</t>
  </si>
  <si>
    <t>QRTZ_TRIGGERS</t>
  </si>
  <si>
    <t>REGION</t>
  </si>
  <si>
    <t>REPORT_REQUEST</t>
  </si>
  <si>
    <t>REPORT_REQUEST_PARAMETER</t>
  </si>
  <si>
    <t>RETAIL_COST</t>
  </si>
  <si>
    <t>RETURN_AND_ADJUSTMENT</t>
  </si>
  <si>
    <t>RX_CORES</t>
  </si>
  <si>
    <t>RX_CORES_MIN_DATE</t>
  </si>
  <si>
    <t>RX_DETAILS</t>
  </si>
  <si>
    <t>RX_DIGITAL_DOCUMENTS</t>
  </si>
  <si>
    <t>RX_DOCUMENTS</t>
  </si>
  <si>
    <t>RX_HOURS_OF_ADMINISTRATION</t>
  </si>
  <si>
    <t>RX_HOURS_OF_ADMIN_DOSES</t>
  </si>
  <si>
    <t>RX_IMAGE_DATA</t>
  </si>
  <si>
    <t>RX_LOTS</t>
  </si>
  <si>
    <t>RX_PATSTORES</t>
  </si>
  <si>
    <t>RX_PRINT_CHR</t>
  </si>
  <si>
    <t>RX_PRINT_INFO</t>
  </si>
  <si>
    <t>RX_REQUEST_ERROR</t>
  </si>
  <si>
    <t>RX_SHIPPING_PACKAGES</t>
  </si>
  <si>
    <t>RX_STATE_TRANSITION</t>
  </si>
  <si>
    <t>RX_TP_INFO</t>
  </si>
  <si>
    <t>RX_VIAL_INFOS</t>
  </si>
  <si>
    <t>RX_WARNING_LABELS</t>
  </si>
  <si>
    <t>RX_WARNING_LABEL_CODES</t>
  </si>
  <si>
    <t>SBMO_LOCKS</t>
  </si>
  <si>
    <t>SBMO_PROPERTIES</t>
  </si>
  <si>
    <t>SCHEDULED_TASKS</t>
  </si>
  <si>
    <t>SCHEMA_UPDATER_MANIFEST</t>
  </si>
  <si>
    <t>SCHEMA_UPDATER_SQL</t>
  </si>
  <si>
    <t>SHIPMENT</t>
  </si>
  <si>
    <t>SHIP_ITEMS</t>
  </si>
  <si>
    <t>STAT_EXPORT</t>
  </si>
  <si>
    <t>STORES</t>
  </si>
  <si>
    <t>STORE_SHIP_VIA</t>
  </si>
  <si>
    <t>STORE_VENDOR_ACCOUNT</t>
  </si>
  <si>
    <t>SYSTEM_MESSAGES</t>
  </si>
  <si>
    <t>TENANTS</t>
  </si>
  <si>
    <t>USER_AUDIT_LOG</t>
  </si>
  <si>
    <t>VENDOR</t>
  </si>
  <si>
    <t>VENDOR_ITEM_PROP</t>
  </si>
  <si>
    <t>VENDOR_PO_CREATE_DAYS</t>
  </si>
  <si>
    <t>VENDOR_PROP</t>
  </si>
  <si>
    <t>VISUALLY_IMPAIRED_DETAILS</t>
  </si>
  <si>
    <t>WEEKLY_SCHEDULED_TASKS</t>
  </si>
  <si>
    <t>table_name</t>
  </si>
  <si>
    <t>ObjectType</t>
  </si>
  <si>
    <t>Count</t>
  </si>
  <si>
    <t>Foreign Keys</t>
  </si>
  <si>
    <t>Functions</t>
  </si>
  <si>
    <t>Indexes</t>
  </si>
  <si>
    <t>Primary Keys</t>
  </si>
  <si>
    <t>Sequences</t>
  </si>
  <si>
    <t>Stored Procedures</t>
  </si>
  <si>
    <t>Synonyms</t>
  </si>
  <si>
    <t>Tables</t>
  </si>
  <si>
    <t>Triggers</t>
  </si>
  <si>
    <t>Unique Constraints</t>
  </si>
  <si>
    <t>Views</t>
  </si>
  <si>
    <t>FUNCTION</t>
  </si>
  <si>
    <t>SYNONYM</t>
  </si>
  <si>
    <t>ADDRESS</t>
  </si>
  <si>
    <t>ADDRESS_AUDIT</t>
  </si>
  <si>
    <t>ADDRESS_OLD</t>
  </si>
  <si>
    <t>ADMIN_UNLOCK_LOG</t>
  </si>
  <si>
    <t>ALLERGY</t>
  </si>
  <si>
    <t>ALLERGY_AUDIT</t>
  </si>
  <si>
    <t>ALT_PRESCRIBER</t>
  </si>
  <si>
    <t>ALT_PRESCRIBER_AUDIT</t>
  </si>
  <si>
    <t>AUDIT_ACCESS_LOG</t>
  </si>
  <si>
    <t>AUDIT_MESSAGE_CONTENT</t>
  </si>
  <si>
    <t>AUDIT_PHI_EVENT</t>
  </si>
  <si>
    <t>AUDIT_PHI_EVENT_DETAIL</t>
  </si>
  <si>
    <t>AUDIT_TABLE_MAPPING</t>
  </si>
  <si>
    <t>AUDIT_USER_LOG</t>
  </si>
  <si>
    <t>CARD</t>
  </si>
  <si>
    <t>CARD_AUDIT</t>
  </si>
  <si>
    <t>CARRIER_ID_TEMP</t>
  </si>
  <si>
    <t>CHAIN_ID_NCPDP_ID</t>
  </si>
  <si>
    <t>CHAIN_RX_TX_SHARING_LINK</t>
  </si>
  <si>
    <t>CHAIN_RX_TX_SHARING_LINK_AUDIT</t>
  </si>
  <si>
    <t>COMPOUND_INGREDIENT_LOT</t>
  </si>
  <si>
    <t>COMPOUND_INGREDIENTS</t>
  </si>
  <si>
    <t>COMPOUND_INGREDIENTS_AUDIT</t>
  </si>
  <si>
    <t>COUNSELING_NOTES</t>
  </si>
  <si>
    <t>COUNSELING_NOTES_AUDIT</t>
  </si>
  <si>
    <t>CROSS_CHAIN_LAST_SELECTED</t>
  </si>
  <si>
    <t>CROSS_CHAIN_LINK</t>
  </si>
  <si>
    <t>DISEASE</t>
  </si>
  <si>
    <t>DISEASE_AUDIT</t>
  </si>
  <si>
    <t>DW_DATA_EXTRACT_TIMESTAMP</t>
  </si>
  <si>
    <t>EMAIL</t>
  </si>
  <si>
    <t>EMAIL_AUDIT</t>
  </si>
  <si>
    <t>FDB_PAT_ALLERGY_REACTION_AUDIT</t>
  </si>
  <si>
    <t>FDB_PATIENT_ALLERGY</t>
  </si>
  <si>
    <t>FDB_PATIENT_ALLERGY_AUDIT</t>
  </si>
  <si>
    <t>FDB_PATIENT_ALLERGY_REACTION</t>
  </si>
  <si>
    <t>FOLLOW_UP_PRESCRIBER</t>
  </si>
  <si>
    <t>FOLLOW_UP_PRESCRIBER_AUDIT</t>
  </si>
  <si>
    <t>FREE_FORM_ALLERGY</t>
  </si>
  <si>
    <t>FREE_FORM_ALLERGY_AUDIT</t>
  </si>
  <si>
    <t>IDGEN</t>
  </si>
  <si>
    <t>IDGEN_TEMP</t>
  </si>
  <si>
    <t>INTAKE_SOURCES</t>
  </si>
  <si>
    <t>KP_RXNUM_REF</t>
  </si>
  <si>
    <t>KP_RXNUM_REF_AUDIT</t>
  </si>
  <si>
    <t>LINE_ITEM</t>
  </si>
  <si>
    <t>LINK_TOKENS</t>
  </si>
  <si>
    <t>MATCH_KEY</t>
  </si>
  <si>
    <t>MATCH_KEY_AUDIT</t>
  </si>
  <si>
    <t>MEDICAL_CONDITION</t>
  </si>
  <si>
    <t>MEDICAL_CONDITION_AUDIT</t>
  </si>
  <si>
    <t>MEDICAL_CONDITION_AUDIT_CSD_23800</t>
  </si>
  <si>
    <t>MEDICAL_COVERAGE_CARD</t>
  </si>
  <si>
    <t>MEDICAL_COVERAGE_CARD_AUDIT</t>
  </si>
  <si>
    <t>MOD_PCM</t>
  </si>
  <si>
    <t>MOD_PCM_AUDIT</t>
  </si>
  <si>
    <t>MRN</t>
  </si>
  <si>
    <t>MRN_AUDIT</t>
  </si>
  <si>
    <t>MTM_PATIENT_ANSWERS</t>
  </si>
  <si>
    <t>MTM_PATIENT_ANSWERS_AUDIT</t>
  </si>
  <si>
    <t>MTM_PATIENT_ELIGIBILITY</t>
  </si>
  <si>
    <t>MTM_PATIENT_SESSION</t>
  </si>
  <si>
    <t>MTM_PATIENT_SESSION_AUDIT</t>
  </si>
  <si>
    <t>PA_NUM</t>
  </si>
  <si>
    <t>PA_NUM_AUDIT</t>
  </si>
  <si>
    <t>PACKAGE_INFO</t>
  </si>
  <si>
    <t>PACKAGE_INFO_AUDIT</t>
  </si>
  <si>
    <t>PATIENT</t>
  </si>
  <si>
    <t>PATIENT_08072015</t>
  </si>
  <si>
    <t>PATIENT_AR_ACCOUNT</t>
  </si>
  <si>
    <t>PATIENT_AR_ACCOUNT_AUDIT</t>
  </si>
  <si>
    <t>PATIENT_AUDIT</t>
  </si>
  <si>
    <t>PATIENT_CARE_PROVIDER</t>
  </si>
  <si>
    <t>PATIENT_CARE_PROVIDER_AUDIT</t>
  </si>
  <si>
    <t>PATIENT_CARE_PROVIDER_AUDIT_CSD_23800</t>
  </si>
  <si>
    <t>PATIENT_CREDIT_CARD</t>
  </si>
  <si>
    <t>PATIENT_CREDIT_CARD_AUDIT</t>
  </si>
  <si>
    <t>PATIENT_DOCUMENT</t>
  </si>
  <si>
    <t>PATIENT_EMERGENCY_CONT_AUDIT</t>
  </si>
  <si>
    <t>PATIENT_EMERGENCY_CONT_AUDIT_CSD_23800</t>
  </si>
  <si>
    <t>PATIENT_EMERGENCY_CONTACT</t>
  </si>
  <si>
    <t>PATIENT_EXTERNAL_IDENT</t>
  </si>
  <si>
    <t>PATIENT_EXTERNAL_IDENT_AUDIT</t>
  </si>
  <si>
    <t>PATIENT_EXTRACT</t>
  </si>
  <si>
    <t>PATIENT_MO_CONSENT</t>
  </si>
  <si>
    <t>PATIENT_MO_CONSENT_AUDIT</t>
  </si>
  <si>
    <t>PATIENT_NOTES</t>
  </si>
  <si>
    <t>PATIENT_NOTES_AUDIT</t>
  </si>
  <si>
    <t>PATIENT_NOTIFY_SCHEDULE</t>
  </si>
  <si>
    <t>PATIENT_NOTIFY_SCHEDULE_AUDIT</t>
  </si>
  <si>
    <t>PATIENT_OLD</t>
  </si>
  <si>
    <t>PATIENT_PROGRAM</t>
  </si>
  <si>
    <t>PATIENT_PROGRAM_AUDIT</t>
  </si>
  <si>
    <t>PATIENT_PROGRAM_AUDIT_CSD_23800</t>
  </si>
  <si>
    <t>PATIENT_PROGRAM_CONTACT</t>
  </si>
  <si>
    <t>PATIENT_PROGRAM_CONTACT_AUDIT</t>
  </si>
  <si>
    <t>PATIENT_PROGRAM_CONTACT_AUDIT_CSD_23800</t>
  </si>
  <si>
    <t>PATIENT_RING_DBU_WK</t>
  </si>
  <si>
    <t>PATIENT_SIGNATURES</t>
  </si>
  <si>
    <t>PATIENT_SIGNATURES_AUDIT</t>
  </si>
  <si>
    <t>PATIENT_UNMERGE_LOCK</t>
  </si>
  <si>
    <t>PAYMENT</t>
  </si>
  <si>
    <t>PAYMENT_AUDIT</t>
  </si>
  <si>
    <t>PING</t>
  </si>
  <si>
    <t>PRESCRIBER</t>
  </si>
  <si>
    <t>PRESCRIBER_AUDIT</t>
  </si>
  <si>
    <t>PRIOR_ADVERSE_REACTION</t>
  </si>
  <si>
    <t>PRIOR_ADVERSE_REACTION_AUDIT</t>
  </si>
  <si>
    <t>PRIOR_ADVERSE_REACTION_AUDIT_CSD_23800</t>
  </si>
  <si>
    <t>PURGE_CHAINS</t>
  </si>
  <si>
    <t>PURGE_FLOW_MAP</t>
  </si>
  <si>
    <t>PURGE_FLOW_MAP_CR15426</t>
  </si>
  <si>
    <t>PURGE_FLOW_PATH</t>
  </si>
  <si>
    <t>PURGE_INDEX_REBUILD_LOG</t>
  </si>
  <si>
    <t>PURGE_LEDGER</t>
  </si>
  <si>
    <t>PURGE_RECORDS</t>
  </si>
  <si>
    <t>PURGE_RUN_DETAILS</t>
  </si>
  <si>
    <t>QUEUECOMMAND</t>
  </si>
  <si>
    <t>RENAL_MEASUREMENT</t>
  </si>
  <si>
    <t>RENAL_MEASUREMENT_AUDIT</t>
  </si>
  <si>
    <t>REWRITE_TABLE</t>
  </si>
  <si>
    <t>RTSSP_AUDIT</t>
  </si>
  <si>
    <t>RX_TX</t>
  </si>
  <si>
    <t>RX_TX_AUDIT</t>
  </si>
  <si>
    <t>RX_TX_DIAGNOSIS_CODES</t>
  </si>
  <si>
    <t>RX_TX_DIAGNOSIS_CODES_AUDIT</t>
  </si>
  <si>
    <t>RX_TX_DUR_LIST</t>
  </si>
  <si>
    <t>RX_TX_DUR_LIST_AUDIT</t>
  </si>
  <si>
    <t>RX_TX_PAYMENT</t>
  </si>
  <si>
    <t>RX_TX_PAYMENT_AUDIT</t>
  </si>
  <si>
    <t>RX_TX_SIG_STRUCTURED_PART</t>
  </si>
  <si>
    <t>RX_VENDOR_EXTRACT_XT</t>
  </si>
  <si>
    <t>SIGNATURE</t>
  </si>
  <si>
    <t>SIGNATURE_AUDIT</t>
  </si>
  <si>
    <t>STAT_EXP</t>
  </si>
  <si>
    <t>TELEPHONE</t>
  </si>
  <si>
    <t>TELEPHONE_AUDIT</t>
  </si>
  <si>
    <t>TEMP_BAD_PHONE_NUMBERS</t>
  </si>
  <si>
    <t>TEMP_PURGE</t>
  </si>
  <si>
    <t>TEMP_STATS</t>
  </si>
  <si>
    <t>TP_CSD5570_DROPAFTER20181011</t>
  </si>
  <si>
    <t>TP_LINK</t>
  </si>
  <si>
    <t>TP_LINK_AUDIT</t>
  </si>
  <si>
    <t>TX_CRED</t>
  </si>
  <si>
    <t>TX_CRED_AUDIT</t>
  </si>
  <si>
    <t>TX_LOT</t>
  </si>
  <si>
    <t>TX_LOT_AUDIT</t>
  </si>
  <si>
    <t>TX_TP</t>
  </si>
  <si>
    <t>TX_TP_AUDIT</t>
  </si>
  <si>
    <t>UNMERGE_DELETE_LIST</t>
  </si>
  <si>
    <t>VERSION</t>
  </si>
  <si>
    <t>VIAL_INFO</t>
  </si>
  <si>
    <t>VIAL_INFO_AUDIT</t>
  </si>
  <si>
    <t>VISUALLY_IMPAIRED_DETAIL</t>
  </si>
  <si>
    <t>VISUALLY_IMPAIRED_DETAIL_AUDIT</t>
  </si>
  <si>
    <t>WC_CSD5570_DROPAFTER20181011</t>
  </si>
  <si>
    <t>WORK_WINN_DIXIE</t>
  </si>
  <si>
    <t>WORKMANS_COMP</t>
  </si>
  <si>
    <t>WORKMANS_COMP_AUDIT</t>
  </si>
  <si>
    <t>XT_TARGET_NDC</t>
  </si>
  <si>
    <t>COLUMN_COUNT</t>
  </si>
  <si>
    <t>column_count</t>
  </si>
  <si>
    <t>diff</t>
  </si>
  <si>
    <t>Object Type</t>
  </si>
  <si>
    <t>TOTAL_COLUMNS</t>
  </si>
  <si>
    <t>NUMBER_COLUMNS</t>
  </si>
  <si>
    <t>VARCHAR2_COLUMNS</t>
  </si>
  <si>
    <t>CHAR_COLUMNS</t>
  </si>
  <si>
    <t>DATE_COLUMNS</t>
  </si>
  <si>
    <t>TIMESTAMP_COLUMNS</t>
  </si>
  <si>
    <t>CLOB_COLUMNS</t>
  </si>
  <si>
    <t>BLOB_COLUMNS</t>
  </si>
  <si>
    <t>OTHER_COLUMNS</t>
  </si>
  <si>
    <t>VW_SCHEMA_UPDATER_MANIFEST</t>
  </si>
  <si>
    <t>total_columns</t>
  </si>
  <si>
    <t>number_columns</t>
  </si>
  <si>
    <t>varchar_columns</t>
  </si>
  <si>
    <t>char_columns</t>
  </si>
  <si>
    <t>date_columns</t>
  </si>
  <si>
    <t>time_columns</t>
  </si>
  <si>
    <t>bit_columns</t>
  </si>
  <si>
    <t>clob_equivalent_columns</t>
  </si>
  <si>
    <t>blob_equivalent_columns</t>
  </si>
  <si>
    <t>OWNER</t>
  </si>
  <si>
    <t>SBMO_MEIJER</t>
  </si>
  <si>
    <t>SBMO_MEIJER_RPT</t>
  </si>
  <si>
    <t>WL_SBMO</t>
  </si>
  <si>
    <t>LOB</t>
  </si>
  <si>
    <t>Application</t>
  </si>
  <si>
    <t>Users &amp; DB Roles</t>
  </si>
  <si>
    <t>SBMO</t>
  </si>
  <si>
    <t>IT_OPS</t>
  </si>
  <si>
    <t>RO_SBMO_APPSERVER</t>
  </si>
  <si>
    <t>RO_SBMO_COSTUPDATE</t>
  </si>
  <si>
    <t>RO_SBMO_DBU</t>
  </si>
  <si>
    <t>RO_SBMO_FULL</t>
  </si>
  <si>
    <t>RO_SBMO_LIMITED</t>
  </si>
  <si>
    <t>RO_SBMO_READ</t>
  </si>
  <si>
    <t>RO_SBMO_SEQALL</t>
  </si>
  <si>
    <t>RO_SBMO_MEIJER_READ</t>
  </si>
  <si>
    <t>SBMO Roles</t>
  </si>
  <si>
    <t>Users / Schemas With Direct Object Access</t>
  </si>
  <si>
    <t>User / Schema</t>
  </si>
  <si>
    <t>Users Having Access Through SBMO Roles</t>
  </si>
  <si>
    <t>CS_SUPPORT_L1</t>
  </si>
  <si>
    <t>CS_SUPPORT_L3</t>
  </si>
  <si>
    <t>OPS$ORACLE</t>
  </si>
  <si>
    <t>OPS$ORACLE_PERSI</t>
  </si>
  <si>
    <t>QA_TEAM_FULL_ACCESS</t>
  </si>
  <si>
    <t>REPORT_EPS</t>
  </si>
  <si>
    <t>DIB</t>
  </si>
  <si>
    <t>DIB3</t>
  </si>
  <si>
    <t>DIB3_1</t>
  </si>
  <si>
    <t>DIB3_2</t>
  </si>
  <si>
    <t>DIB3_AUX</t>
  </si>
  <si>
    <t>DIB5_1</t>
  </si>
  <si>
    <t>DIB5_2</t>
  </si>
  <si>
    <t>DIB5_AUX</t>
  </si>
  <si>
    <t>EPHARM</t>
  </si>
  <si>
    <t>ESCRIBE</t>
  </si>
  <si>
    <t>PBC</t>
  </si>
  <si>
    <t>WL_DIB3</t>
  </si>
  <si>
    <t>WL_DIB5</t>
  </si>
  <si>
    <t>WL_EPHARMACY</t>
  </si>
  <si>
    <t>indexes</t>
  </si>
  <si>
    <t>packages</t>
  </si>
  <si>
    <t>Total</t>
  </si>
  <si>
    <t>synonyms</t>
  </si>
  <si>
    <t>lob</t>
  </si>
  <si>
    <t>tbl part</t>
  </si>
  <si>
    <t>ind par</t>
  </si>
  <si>
    <t>triggers</t>
  </si>
  <si>
    <t>views</t>
  </si>
  <si>
    <t>procedures</t>
  </si>
  <si>
    <t>ind</t>
  </si>
  <si>
    <r>
      <t xml:space="preserve">Verified in the </t>
    </r>
    <r>
      <rPr>
        <sz val="10"/>
        <color theme="1"/>
        <rFont val="Arial Unicode MS"/>
      </rPr>
      <t>ESCRIBE</t>
    </r>
    <r>
      <rPr>
        <sz val="8"/>
        <color theme="1"/>
        <rFont val="Segoe UI"/>
        <family val="2"/>
      </rPr>
      <t xml:space="preserve"> schema that the following constraint names contain spelling inconsistencies:</t>
    </r>
  </si>
  <si>
    <r>
      <t>CLAIN_HST_NHIN_PRESCRIBER_FK</t>
    </r>
    <r>
      <rPr>
        <sz val="8"/>
        <color theme="1"/>
        <rFont val="Segoe UI"/>
        <family val="2"/>
      </rPr>
      <t xml:space="preserve"> on table </t>
    </r>
    <r>
      <rPr>
        <sz val="10"/>
        <color theme="1"/>
        <rFont val="Arial Unicode MS"/>
      </rPr>
      <t>CLAIM_HISTORY</t>
    </r>
  </si>
  <si>
    <r>
      <t>CLAIN</t>
    </r>
    <r>
      <rPr>
        <sz val="8"/>
        <color theme="1"/>
        <rFont val="Segoe UI"/>
        <family val="2"/>
      </rPr>
      <t xml:space="preserve"> should be </t>
    </r>
    <r>
      <rPr>
        <sz val="10"/>
        <color theme="1"/>
        <rFont val="Arial Unicode MS"/>
      </rPr>
      <t>CLAIM</t>
    </r>
  </si>
  <si>
    <r>
      <t xml:space="preserve">Suggested name: </t>
    </r>
    <r>
      <rPr>
        <sz val="10"/>
        <color theme="1"/>
        <rFont val="Arial Unicode MS"/>
      </rPr>
      <t>CLAIM_HST_NHIN_PRESCRIBER_FK</t>
    </r>
  </si>
  <si>
    <r>
      <t>PRESRIBER_PHARMACY_USAGE_ID_PK</t>
    </r>
    <r>
      <rPr>
        <sz val="8"/>
        <color theme="1"/>
        <rFont val="Segoe UI"/>
        <family val="2"/>
      </rPr>
      <t xml:space="preserve"> on table </t>
    </r>
    <r>
      <rPr>
        <sz val="10"/>
        <color theme="1"/>
        <rFont val="Arial Unicode MS"/>
      </rPr>
      <t>PRESCRIBER_PHARMACY_USAGE</t>
    </r>
  </si>
  <si>
    <r>
      <t>PRESRIBER</t>
    </r>
    <r>
      <rPr>
        <sz val="8"/>
        <color theme="1"/>
        <rFont val="Segoe UI"/>
        <family val="2"/>
      </rPr>
      <t xml:space="preserve"> should be </t>
    </r>
    <r>
      <rPr>
        <sz val="10"/>
        <color theme="1"/>
        <rFont val="Arial Unicode MS"/>
      </rPr>
      <t>PRESCRIBER</t>
    </r>
  </si>
  <si>
    <r>
      <t xml:space="preserve">Suggested name: </t>
    </r>
    <r>
      <rPr>
        <sz val="10"/>
        <color theme="1"/>
        <rFont val="Arial Unicode MS"/>
      </rPr>
      <t>PRESCRIBER_PHARMACY_USAGE_ID_PK</t>
    </r>
  </si>
  <si>
    <r>
      <t>AP_USER_ID_NHIN_PRESRIBER_FK</t>
    </r>
    <r>
      <rPr>
        <sz val="8"/>
        <color theme="1"/>
        <rFont val="Segoe UI"/>
        <family val="2"/>
      </rPr>
      <t xml:space="preserve"> on table </t>
    </r>
    <r>
      <rPr>
        <sz val="10"/>
        <color theme="1"/>
        <rFont val="Arial Unicode MS"/>
      </rPr>
      <t>APP_USER</t>
    </r>
  </si>
  <si>
    <r>
      <t xml:space="preserve">Suggested name: </t>
    </r>
    <r>
      <rPr>
        <sz val="10"/>
        <color theme="1"/>
        <rFont val="Arial Unicode MS"/>
      </rPr>
      <t>AP_USER_ID_NHIN_PRESCRIBER_FK</t>
    </r>
  </si>
  <si>
    <t>FOREIGN_KEY_CONSTRAINT</t>
  </si>
  <si>
    <t>PRIMARY_KEY_CONSTRAINT</t>
  </si>
  <si>
    <t>SEQUENCE_OBJECT</t>
  </si>
  <si>
    <t>UNIQUE_CONSTRAINT</t>
  </si>
  <si>
    <t>USER_TABLE</t>
  </si>
  <si>
    <t>26/08/2026</t>
  </si>
  <si>
    <t>VIEWS</t>
  </si>
  <si>
    <t>SYNONYMS</t>
  </si>
  <si>
    <t>DEPENDENT_SCHEMA</t>
  </si>
  <si>
    <t>REFERENCED_SCHEMA</t>
  </si>
  <si>
    <t>DEPENDENCY_COUNT</t>
  </si>
  <si>
    <t>APPQOSSYS</t>
  </si>
  <si>
    <t>SYS</t>
  </si>
  <si>
    <t>APP_CENTRAL_ADJUDICATION</t>
  </si>
  <si>
    <t>CENTRAL_ADJUDICATION</t>
  </si>
  <si>
    <t>APP_CENTRAL_ADJUDICATION_PERSI</t>
  </si>
  <si>
    <t>CENTRAL_ADJUDICATION_PERSI</t>
  </si>
  <si>
    <t>APP_CENTRAL_PLAN</t>
  </si>
  <si>
    <t>CENTRAL_PLAN</t>
  </si>
  <si>
    <t>APP_CENTRAL_PLAN_PERSI</t>
  </si>
  <si>
    <t>CENTRAL_PLAN_PERSI</t>
  </si>
  <si>
    <t>APP_CIS</t>
  </si>
  <si>
    <t>CIS</t>
  </si>
  <si>
    <t>APP_CIS_PERSI</t>
  </si>
  <si>
    <t>CIS_PERSI</t>
  </si>
  <si>
    <t>ARS</t>
  </si>
  <si>
    <t>PDXDBA</t>
  </si>
  <si>
    <t>PUBLIC</t>
  </si>
  <si>
    <t>ARS_PERSI</t>
  </si>
  <si>
    <t>AUDSYS</t>
  </si>
  <si>
    <t>CRASH_REPORT</t>
  </si>
  <si>
    <t>EPS</t>
  </si>
  <si>
    <t>CRASH_REPORT_PERSI</t>
  </si>
  <si>
    <t>EPS_PERSI</t>
  </si>
  <si>
    <t>CTXSYS</t>
  </si>
  <si>
    <t>DBA_TOOLS</t>
  </si>
  <si>
    <t>DBA_TOOLS_PERSI</t>
  </si>
  <si>
    <t>DBSFWUSER</t>
  </si>
  <si>
    <t>DBSNMP</t>
  </si>
  <si>
    <t>DIB3_AUX_PERSI</t>
  </si>
  <si>
    <t>DIB3_2_PERSI</t>
  </si>
  <si>
    <t>DIB5_AUX_PERSI</t>
  </si>
  <si>
    <t>DIB5_1_PERSI</t>
  </si>
  <si>
    <t>DVF</t>
  </si>
  <si>
    <t>DVSYS</t>
  </si>
  <si>
    <t>LBACSYS</t>
  </si>
  <si>
    <t>EAS</t>
  </si>
  <si>
    <t>EAS_PERSI</t>
  </si>
  <si>
    <t>ECC_CP</t>
  </si>
  <si>
    <t>ECC_CP_PERSI</t>
  </si>
  <si>
    <t>EPHARM_PERSI</t>
  </si>
  <si>
    <t>KMS</t>
  </si>
  <si>
    <t>PARTITION_MANAGER</t>
  </si>
  <si>
    <t>VPDADM</t>
  </si>
  <si>
    <t>KMS_PERSI</t>
  </si>
  <si>
    <t>ESCRIBE_PERSI</t>
  </si>
  <si>
    <t>GSMADMIN_INTERNAL</t>
  </si>
  <si>
    <t>HOSTED_RX</t>
  </si>
  <si>
    <t>EVENT_LOGGING</t>
  </si>
  <si>
    <t>HOSTED_RX_PERSI</t>
  </si>
  <si>
    <t>EVENT_LOGGING_PERSI</t>
  </si>
  <si>
    <t>LOOKER</t>
  </si>
  <si>
    <t>LOOKER_PERSI</t>
  </si>
  <si>
    <t>MDS</t>
  </si>
  <si>
    <t>MDSYS</t>
  </si>
  <si>
    <t>XDB</t>
  </si>
  <si>
    <t>MDS_PERSI</t>
  </si>
  <si>
    <t>MS_ENTERPRISE_MONITOR</t>
  </si>
  <si>
    <t>ENTERPRISE_MONITOR</t>
  </si>
  <si>
    <t>MS_ENTERPRISE_MONITOR_PERSI</t>
  </si>
  <si>
    <t>ENTERPRISE_MONITOR_PERSI</t>
  </si>
  <si>
    <t>MTM</t>
  </si>
  <si>
    <t>MTM_CLINICAL</t>
  </si>
  <si>
    <t>MTM_CLINICAL_PERSI</t>
  </si>
  <si>
    <t>MTM_PERSI</t>
  </si>
  <si>
    <t>NAGIOS</t>
  </si>
  <si>
    <t>PNM</t>
  </si>
  <si>
    <t>NAGIOS_PERSI</t>
  </si>
  <si>
    <t>PNM_PERSI</t>
  </si>
  <si>
    <t>NCPDP_DATAQ</t>
  </si>
  <si>
    <t>NCPDP_DATAQ_PERSI</t>
  </si>
  <si>
    <t>OJVMSYS</t>
  </si>
  <si>
    <t>OLAPSYS</t>
  </si>
  <si>
    <t>SEC_ADMIN</t>
  </si>
  <si>
    <t>ORACLE_OCM</t>
  </si>
  <si>
    <t>ORDDATA</t>
  </si>
  <si>
    <t>ORDSYS</t>
  </si>
  <si>
    <t>ORDPLUGINS</t>
  </si>
  <si>
    <t>OUTLN</t>
  </si>
  <si>
    <t>PARTITION_MANAGER_PERSI</t>
  </si>
  <si>
    <t>PATIENT_PORTAL_APP</t>
  </si>
  <si>
    <t>PATIENT_PORTAL</t>
  </si>
  <si>
    <t>PATIENT_PORTAL_APP_PERSI</t>
  </si>
  <si>
    <t>PATIENT_PORTAL_PERSI</t>
  </si>
  <si>
    <t>PAVS</t>
  </si>
  <si>
    <t>PDXDBA_PERSI</t>
  </si>
  <si>
    <t>PDXMGR</t>
  </si>
  <si>
    <t>PDXMGR_PERSI</t>
  </si>
  <si>
    <t>PRODUCT_TRACKING</t>
  </si>
  <si>
    <t>PRODUCT_TRACKING_APP</t>
  </si>
  <si>
    <t>PRODUCT_TRACKING_APP_PERSI</t>
  </si>
  <si>
    <t>PRODUCT_TRACKING_PERSI</t>
  </si>
  <si>
    <t>JMS</t>
  </si>
  <si>
    <t>RODBA</t>
  </si>
  <si>
    <t>SUPPORT_OWNER</t>
  </si>
  <si>
    <t>SYSTEM</t>
  </si>
  <si>
    <t>USPS_2</t>
  </si>
  <si>
    <t>WEB_SESSIONS</t>
  </si>
  <si>
    <t>WMSYS</t>
  </si>
  <si>
    <t>QUESTION_ANSWER_APP</t>
  </si>
  <si>
    <t>QUESTION_ANSWER</t>
  </si>
  <si>
    <t>QUESTION_ANSWER_APP_PERSI</t>
  </si>
  <si>
    <t>QUESTION_ANSWER_PERSI</t>
  </si>
  <si>
    <t>REGISTRATION_LOG</t>
  </si>
  <si>
    <t>REGISTRATION_LOG_PERSI</t>
  </si>
  <si>
    <t>REMOTE_SCHEDULER_AGENT</t>
  </si>
  <si>
    <t>REPORT_CARERX</t>
  </si>
  <si>
    <t>REPORT_MDS</t>
  </si>
  <si>
    <t>SI_INFORMTN_SCHEMA</t>
  </si>
  <si>
    <t>SYMMETRIC</t>
  </si>
  <si>
    <t>SYMMETRIC2</t>
  </si>
  <si>
    <t>UNLOAD_MANAGER</t>
  </si>
  <si>
    <t>WL_ARS</t>
  </si>
  <si>
    <t>WL_CPR_PATIENT</t>
  </si>
  <si>
    <t>WL_CPR_REGLOG</t>
  </si>
  <si>
    <t>WL_CPR_SECADMIN</t>
  </si>
  <si>
    <t>WL_CPR_USPS</t>
  </si>
  <si>
    <t>WL_EAS</t>
  </si>
  <si>
    <t>WL_ENTERPRISE_MONITOR</t>
  </si>
  <si>
    <t>WL_HOSTED_RX</t>
  </si>
  <si>
    <t>WL_LAB_RESULTS</t>
  </si>
  <si>
    <t>LAB_RESULTS</t>
  </si>
  <si>
    <t>WL_LAB_SERVICE</t>
  </si>
  <si>
    <t>LAB_SERVICE</t>
  </si>
  <si>
    <t>WL_LINK_QUEUE</t>
  </si>
  <si>
    <t>WL_MDS</t>
  </si>
  <si>
    <t>WL_MTM</t>
  </si>
  <si>
    <t>WL_MTM_CLINICAL</t>
  </si>
  <si>
    <t>WL_NCPDP_DATAQ</t>
  </si>
  <si>
    <t>WL_PAVS</t>
  </si>
  <si>
    <t>WL_PAVS_CPR</t>
  </si>
  <si>
    <t>WL_PBC</t>
  </si>
  <si>
    <t xml:space="preserve">
Azure SQL MI supports the required Oracle procedural constructs (cursors, sequences, TRY/CATCH, window functions, and transactional processing), and the major SSMA conversion issues have been remediated to restore Oracle business logic and deployment compatibility.A20
A key limitation remains with the Oracle source staging tables ESCRIBE.HCI_PRESCRIBER_SOURCE_DATA_XT and ESCRIBE.NCPDP_PHARMACY_SOURCE_DATA_XT, which are ORACLE_LOADER external tables. Access to the underlying source files is currently unavailable due to the missing ESCRIBE_LOAD_DIR directory object.
Because the source data cannot be queried, Oracle ROWID behavior cannot be validated directly. A documented deterministic ordering strategy using available business columns has been implemented as the closest Azure SQL MI equivalent.
Conclusion: Core Oracle logic has been restored and aligned for Azure SQL MI, with the only known fidelity limitation being the unverified ROWID replacement caused by inaccessible external-table source data.</t>
  </si>
  <si>
    <r>
      <t>ESCRIBE.NHIN_CLINIC_TBL_INS_P</t>
    </r>
    <r>
      <rPr>
        <sz val="8"/>
        <color theme="1"/>
        <rFont val="Segoe UI"/>
        <family val="2"/>
      </rPr>
      <t xml:space="preserve">: Oracle </t>
    </r>
    <r>
      <rPr>
        <sz val="10"/>
        <color theme="1"/>
        <rFont val="Arial Unicode MS"/>
      </rPr>
      <t>ROWID</t>
    </r>
    <r>
      <rPr>
        <sz val="8"/>
        <color theme="1"/>
        <rFont val="Segoe UI"/>
        <family val="2"/>
      </rPr>
      <t xml:space="preserve"> ordering cannot be reproduced or validated exactly because source tables </t>
    </r>
    <r>
      <rPr>
        <b/>
        <sz val="8"/>
        <color theme="1"/>
        <rFont val="Segoe UI"/>
        <family val="2"/>
      </rPr>
      <t>ESCRIBE.HCI_PRESCRIBER_SOURCE_DATA_XT</t>
    </r>
    <r>
      <rPr>
        <sz val="8"/>
        <color theme="1"/>
        <rFont val="Segoe UI"/>
        <family val="2"/>
      </rPr>
      <t xml:space="preserve"> and </t>
    </r>
    <r>
      <rPr>
        <b/>
        <sz val="8"/>
        <color theme="1"/>
        <rFont val="Segoe UI"/>
        <family val="2"/>
      </rPr>
      <t>ESCRIBE.NCPDP_PHARMACY_SOURCE_DATA_XT</t>
    </r>
    <r>
      <rPr>
        <sz val="8"/>
        <color theme="1"/>
        <rFont val="Segoe UI"/>
        <family val="2"/>
      </rPr>
      <t xml:space="preserve"> are </t>
    </r>
    <r>
      <rPr>
        <sz val="10"/>
        <color theme="1"/>
        <rFont val="Arial Unicode MS"/>
      </rPr>
      <t>ORACLE_LOADER</t>
    </r>
    <r>
      <rPr>
        <sz val="8"/>
        <color theme="1"/>
        <rFont val="Segoe UI"/>
        <family val="2"/>
      </rPr>
      <t xml:space="preserve"> external tables with inaccessible source files; deterministic business-column ordering is being used as a best-effort replacement.</t>
    </r>
  </si>
  <si>
    <r>
      <t>ESCRIBE.NHIN_CLINIC_TBL_INS_P</t>
    </r>
    <r>
      <rPr>
        <sz val="8"/>
        <color theme="1"/>
        <rFont val="Segoe UI"/>
        <family val="2"/>
      </rPr>
      <t xml:space="preserve">: Oracle </t>
    </r>
    <r>
      <rPr>
        <sz val="10"/>
        <color theme="1"/>
        <rFont val="Arial Unicode MS"/>
      </rPr>
      <t>||</t>
    </r>
    <r>
      <rPr>
        <sz val="8"/>
        <color theme="1"/>
        <rFont val="Segoe UI"/>
        <family val="2"/>
      </rPr>
      <t xml:space="preserve"> NULL-concatenation behavior has been translated using </t>
    </r>
    <r>
      <rPr>
        <sz val="10"/>
        <color theme="1"/>
        <rFont val="Arial Unicode MS"/>
      </rPr>
      <t>COALESCE()</t>
    </r>
    <r>
      <rPr>
        <sz val="8"/>
        <color theme="1"/>
        <rFont val="Segoe UI"/>
        <family val="2"/>
      </rPr>
      <t>-based logic, providing functional equivalence but not an exact Oracle engine-level implementation.</t>
    </r>
  </si>
  <si>
    <r>
      <t>ESCRIBE.HCI_PRESCRIBER_SOURCE_DATA_XT</t>
    </r>
    <r>
      <rPr>
        <sz val="8"/>
        <color theme="1"/>
        <rFont val="Segoe UI"/>
        <family val="2"/>
      </rPr>
      <t xml:space="preserve">: Source data validation could not be performed because the object is an </t>
    </r>
    <r>
      <rPr>
        <sz val="10"/>
        <color theme="1"/>
        <rFont val="Arial Unicode MS"/>
      </rPr>
      <t>ORACLE_LOADER</t>
    </r>
    <r>
      <rPr>
        <sz val="8"/>
        <color theme="1"/>
        <rFont val="Segoe UI"/>
        <family val="2"/>
      </rPr>
      <t xml:space="preserve"> external table dependent on missing/inaccessible </t>
    </r>
    <r>
      <rPr>
        <sz val="10"/>
        <color theme="1"/>
        <rFont val="Arial Unicode MS"/>
      </rPr>
      <t>ESCRIBE_LOAD_DIR</t>
    </r>
    <r>
      <rPr>
        <sz val="8"/>
        <color theme="1"/>
        <rFont val="Segoe UI"/>
        <family val="2"/>
      </rPr>
      <t>.</t>
    </r>
  </si>
  <si>
    <r>
      <t>ESCRIBE.NHIN_PRESCR_CLNC_LNK_TBL_INS_P</t>
    </r>
    <r>
      <rPr>
        <sz val="8"/>
        <color theme="1"/>
        <rFont val="Segoe UI"/>
        <family val="2"/>
      </rPr>
      <t xml:space="preserve">: Oracle </t>
    </r>
    <r>
      <rPr>
        <sz val="10"/>
        <color theme="1"/>
        <rFont val="Arial Unicode MS"/>
      </rPr>
      <t>ROWID</t>
    </r>
    <r>
      <rPr>
        <sz val="8"/>
        <color theme="1"/>
        <rFont val="Segoe UI"/>
        <family val="2"/>
      </rPr>
      <t xml:space="preserve"> ordering has been replaced with </t>
    </r>
    <r>
      <rPr>
        <sz val="10"/>
        <color theme="1"/>
        <rFont val="Arial Unicode MS"/>
      </rPr>
      <t>DATA_SUPPLIER_REF_KEY_1</t>
    </r>
    <r>
      <rPr>
        <sz val="8"/>
        <color theme="1"/>
        <rFont val="Segoe UI"/>
        <family val="2"/>
      </rPr>
      <t>, but equivalence cannot be validated because source data is hosted in Oracle external tables (</t>
    </r>
    <r>
      <rPr>
        <sz val="10"/>
        <color theme="1"/>
        <rFont val="Arial Unicode MS"/>
      </rPr>
      <t>HCI_PRESCRIBER_SOURCE_DATA_XT</t>
    </r>
    <r>
      <rPr>
        <sz val="8"/>
        <color theme="1"/>
        <rFont val="Segoe UI"/>
        <family val="2"/>
      </rPr>
      <t>)</t>
    </r>
  </si>
  <si>
    <r>
      <t>ESCRIBE.NHIN_PRESCR_CLNC_LNK_TBL_INS_P</t>
    </r>
    <r>
      <rPr>
        <sz val="8"/>
        <color theme="1"/>
        <rFont val="Segoe UI"/>
        <family val="2"/>
      </rPr>
      <t xml:space="preserve">: Oracle </t>
    </r>
    <r>
      <rPr>
        <sz val="10"/>
        <color theme="1"/>
        <rFont val="Arial Unicode MS"/>
      </rPr>
      <t>ROWID</t>
    </r>
    <r>
      <rPr>
        <sz val="8"/>
        <color theme="1"/>
        <rFont val="Segoe UI"/>
        <family val="2"/>
      </rPr>
      <t xml:space="preserve"> ordering cannot be reproduced exactly because source table </t>
    </r>
    <r>
      <rPr>
        <sz val="10"/>
        <color theme="1"/>
        <rFont val="Arial Unicode MS"/>
      </rPr>
      <t>ESCRIBE.HCI_PRESCRIBER_SOURCE_DATA_XT</t>
    </r>
    <r>
      <rPr>
        <sz val="8"/>
        <color theme="1"/>
        <rFont val="Segoe UI"/>
        <family val="2"/>
      </rPr>
      <t xml:space="preserve"> is an </t>
    </r>
    <r>
      <rPr>
        <sz val="10"/>
        <color theme="1"/>
        <rFont val="Arial Unicode MS"/>
      </rPr>
      <t>ORACLE_LOADER</t>
    </r>
    <r>
      <rPr>
        <sz val="8"/>
        <color theme="1"/>
        <rFont val="Segoe UI"/>
        <family val="2"/>
      </rPr>
      <t xml:space="preserve"> external table; </t>
    </r>
    <r>
      <rPr>
        <sz val="10"/>
        <color theme="1"/>
        <rFont val="Arial Unicode MS"/>
      </rPr>
      <t>DATA_SUPPLIER_REF_KEY_1</t>
    </r>
    <r>
      <rPr>
        <sz val="8"/>
        <color theme="1"/>
        <rFont val="Segoe UI"/>
        <family val="2"/>
      </rPr>
      <t xml:space="preserve"> is being used as the documented deterministic replacement.</t>
    </r>
  </si>
  <si>
    <t>OBJECT_NAME</t>
  </si>
  <si>
    <t>STATUS</t>
  </si>
  <si>
    <t>DI_INT_IDX_AC_SC_DC</t>
  </si>
  <si>
    <t>VALID</t>
  </si>
  <si>
    <t>DI_RPIDLINK_IDX_KDC1_RPID</t>
  </si>
  <si>
    <t>DRUG_DISP_UQ_IDX_RPRTDFPNDD</t>
  </si>
  <si>
    <t>DRUG_NAME_UQ_IDX_DS_ME_PN</t>
  </si>
  <si>
    <t>DRUG_ROUTED_UQ_IDX_PN_RT_RP</t>
  </si>
  <si>
    <t>IXMMWADECOM1</t>
  </si>
  <si>
    <t>IXMMWADEDRUGLINK1</t>
  </si>
  <si>
    <t>IXMMWADESPECCOND1</t>
  </si>
  <si>
    <t>IXMMWCLSAHFS1</t>
  </si>
  <si>
    <t>IXMMWCLSAHFS2</t>
  </si>
  <si>
    <t>IXMMWCLSAHFS3</t>
  </si>
  <si>
    <t>IXMMWCLSAHFSDRUG1</t>
  </si>
  <si>
    <t>IXMMWCLSGPI1</t>
  </si>
  <si>
    <t>IXMMWCLSGPI2</t>
  </si>
  <si>
    <t>IXMMWCLSGPI3</t>
  </si>
  <si>
    <t>IXMMWCLSGPIDRUG1</t>
  </si>
  <si>
    <t>IXMMWDICLASSLINK1</t>
  </si>
  <si>
    <t>IXMMWDIINT1</t>
  </si>
  <si>
    <t>IXMMWDIINT2</t>
  </si>
  <si>
    <t>IXMMWDRUGDISP1</t>
  </si>
  <si>
    <t>IXMMWDRUGDISP2</t>
  </si>
  <si>
    <t>IXMMWDRUGDISP3</t>
  </si>
  <si>
    <t>IXMMWDRUGDISP4</t>
  </si>
  <si>
    <t>IXMMWDRUGNAME1</t>
  </si>
  <si>
    <t>IXMMWDRUGNAME2</t>
  </si>
  <si>
    <t>IXMMWDRUGPACK1</t>
  </si>
  <si>
    <t>IXMMWDRUGROUTED1</t>
  </si>
  <si>
    <t>IXMMWDRUGROUTED2</t>
  </si>
  <si>
    <t>IXMMWDRUGROUTED3</t>
  </si>
  <si>
    <t>IXMMWFCELEMENT1</t>
  </si>
  <si>
    <t>IXMMWINDCOM1</t>
  </si>
  <si>
    <t>IXMMWINDCOTREAT1</t>
  </si>
  <si>
    <t>IXMMWINDDRUGLINK1</t>
  </si>
  <si>
    <t>IXMMWINDSOURCE1</t>
  </si>
  <si>
    <t>IXMMWIPT1</t>
  </si>
  <si>
    <t>IXMMWIPT2</t>
  </si>
  <si>
    <t>IXMMWIPT3</t>
  </si>
  <si>
    <t>IXMMWIPT4</t>
  </si>
  <si>
    <t>IXMMWIPT5</t>
  </si>
  <si>
    <t>IXMMWIPT6</t>
  </si>
  <si>
    <t>IXMMWIPT7</t>
  </si>
  <si>
    <t>IXMMWIPT8</t>
  </si>
  <si>
    <t>IXMMWMEDEXTVOCAB1</t>
  </si>
  <si>
    <t>IXMMWMEDINTVOCAB1</t>
  </si>
  <si>
    <t>IXMMWMEDNAME1</t>
  </si>
  <si>
    <t>IXMMWMEDNAME2</t>
  </si>
  <si>
    <t>IXMMWPRCCCOM1</t>
  </si>
  <si>
    <t>IXMMWPRCCDRUGLINK1</t>
  </si>
  <si>
    <t>IXMMWPRCCSPECCOND1</t>
  </si>
  <si>
    <t>PKMMWADECOM</t>
  </si>
  <si>
    <t>PKMMWADEDRUGLINK</t>
  </si>
  <si>
    <t>PKMMWADESPECCOND</t>
  </si>
  <si>
    <t>PKMMWCLSAHFS</t>
  </si>
  <si>
    <t>PKMMWCLSAHFSDRUG</t>
  </si>
  <si>
    <t>PKMMWCLSGPI</t>
  </si>
  <si>
    <t>PKMMWCLSGPIDRUG</t>
  </si>
  <si>
    <t>PKMMWCMDISPLINK</t>
  </si>
  <si>
    <t>PKMMWCMPACKLINK</t>
  </si>
  <si>
    <t>PKMMWCMTEXT</t>
  </si>
  <si>
    <t>PKMMWDCKCOM</t>
  </si>
  <si>
    <t>PKMMWDCKDRUGLINK</t>
  </si>
  <si>
    <t>PKMMWDDAAUNIT</t>
  </si>
  <si>
    <t>PKMMWDDADOSEFORGPI</t>
  </si>
  <si>
    <t>PKMMWDDADOSEROUTEC</t>
  </si>
  <si>
    <t>PKMMWDDAGPIDOSE</t>
  </si>
  <si>
    <t>PKMMWDDAGPIDOSETEX</t>
  </si>
  <si>
    <t>PKMMWDDAPATIENTPRO</t>
  </si>
  <si>
    <t>PKMMWDDAROUTE</t>
  </si>
  <si>
    <t>PKMMWDDATEXT</t>
  </si>
  <si>
    <t>PKMMWDDAUNIT</t>
  </si>
  <si>
    <t>PKMMWDDAUNITCONVER</t>
  </si>
  <si>
    <t>PKMMWDDAUNITXREF</t>
  </si>
  <si>
    <t>PKMMWDFAINT</t>
  </si>
  <si>
    <t>PKMMWDFATEXT</t>
  </si>
  <si>
    <t>PKMMWDICLASSLINK</t>
  </si>
  <si>
    <t>PKMMWDIINT</t>
  </si>
  <si>
    <t>PKMMWDIRPIDLINK</t>
  </si>
  <si>
    <t>PKMMWDITEXT</t>
  </si>
  <si>
    <t>PKMMWDRUGDISP</t>
  </si>
  <si>
    <t>PKMMWDRUGDISPIMG</t>
  </si>
  <si>
    <t>PKMMWDRUGDISPLBLR</t>
  </si>
  <si>
    <t>PKMMWDRUGDOSEFORM</t>
  </si>
  <si>
    <t>PKMMWDRUGGPI</t>
  </si>
  <si>
    <t>PKMMWDRUGGPILINK</t>
  </si>
  <si>
    <t>PKMMWDRUGKDC</t>
  </si>
  <si>
    <t>PKMMWDRUGKDCLINK</t>
  </si>
  <si>
    <t>PKMMWDRUGLABELER</t>
  </si>
  <si>
    <t>PKMMWDRUGNAME</t>
  </si>
  <si>
    <t>PKMMWDRUGPACK</t>
  </si>
  <si>
    <t>PKMMWDRUGPACKMOD</t>
  </si>
  <si>
    <t>PKMMWDRUGROUTE</t>
  </si>
  <si>
    <t>PKMMWDRUGROUTED</t>
  </si>
  <si>
    <t>PKMMWDUPDRUGLINK</t>
  </si>
  <si>
    <t>PKMMWDUPTEXT</t>
  </si>
  <si>
    <t>PKMMWFCDRUGLINK</t>
  </si>
  <si>
    <t>PKMMWFCELEMENT</t>
  </si>
  <si>
    <t>PKMMWFCSECTION</t>
  </si>
  <si>
    <t>PKMMWFCSECTIONLINK</t>
  </si>
  <si>
    <t>PKMMWIMG</t>
  </si>
  <si>
    <t>PKMMWINDCOM</t>
  </si>
  <si>
    <t>PKMMWINDCOTREAT</t>
  </si>
  <si>
    <t>PKMMWINDDRUGLINK</t>
  </si>
  <si>
    <t>PKMMWINDRPID</t>
  </si>
  <si>
    <t>PKMMWINDSOURCE</t>
  </si>
  <si>
    <t>PKMMWIPT</t>
  </si>
  <si>
    <t>PKMMWIPTCOLOR</t>
  </si>
  <si>
    <t>PKMMWIPTCOLORPAL</t>
  </si>
  <si>
    <t>PKMMWIPTDESC</t>
  </si>
  <si>
    <t>PKMMWIPTDESCCLR</t>
  </si>
  <si>
    <t>PKMMWIPTDESCTEXT</t>
  </si>
  <si>
    <t>PKMMWIPTSHAPE</t>
  </si>
  <si>
    <t>PKMMWIPTSHAPEPAL</t>
  </si>
  <si>
    <t>PKMMWLIBCODEDEF</t>
  </si>
  <si>
    <t>PKMMWLIBDISCLAIMER</t>
  </si>
  <si>
    <t>PKMMWLIBVERSION</t>
  </si>
  <si>
    <t>PKMMWMED</t>
  </si>
  <si>
    <t>PKMMWMEDCIT</t>
  </si>
  <si>
    <t>PKMMWMEDEXTVOCAB</t>
  </si>
  <si>
    <t>PKMMWMEDHIER</t>
  </si>
  <si>
    <t>PKMMWMEDINTVOCAB</t>
  </si>
  <si>
    <t>PKMMWMEDLINK</t>
  </si>
  <si>
    <t>PKMMWMEDNAME</t>
  </si>
  <si>
    <t>PKMMWMEDTEXT</t>
  </si>
  <si>
    <t>PKMMWMEDTEXTCIT</t>
  </si>
  <si>
    <t>PKMMWMONOCLSNAME</t>
  </si>
  <si>
    <t>PKMMWMONOTEXT</t>
  </si>
  <si>
    <t>PKMMWPARCLASS</t>
  </si>
  <si>
    <t>PKMMWPARCLASSLINK</t>
  </si>
  <si>
    <t>PKMMWPARDRUGLINK</t>
  </si>
  <si>
    <t>PKMMWPARINGRLINK</t>
  </si>
  <si>
    <t>PKMMWPARINT</t>
  </si>
  <si>
    <t>PKMMWPDEDRUGLINK</t>
  </si>
  <si>
    <t>PKMMWPRCACOM</t>
  </si>
  <si>
    <t>PKMMWPRCADRUGLINK</t>
  </si>
  <si>
    <t>PKMMWPRCASPECCOND</t>
  </si>
  <si>
    <t>PKMMWPRCCCOM</t>
  </si>
  <si>
    <t>PKMMWPRCCDRUGLINK</t>
  </si>
  <si>
    <t>PKMMWPRCCSPECCOND</t>
  </si>
  <si>
    <t>PKMMWPRI</t>
  </si>
  <si>
    <t>PKMMWWLDRUGLINK</t>
  </si>
  <si>
    <t>PKMMWWLTEXT</t>
  </si>
  <si>
    <t>PKMMWWLVENDCODE</t>
  </si>
  <si>
    <t>AGFILE</t>
  </si>
  <si>
    <t>MMW_ADE_COM</t>
  </si>
  <si>
    <t>MMW_ADE_DRUGLINK</t>
  </si>
  <si>
    <t>MMW_ADE_SPECCOND</t>
  </si>
  <si>
    <t>MMW_CLS_AHFS</t>
  </si>
  <si>
    <t>MMW_CLS_AHFSDRUG</t>
  </si>
  <si>
    <t>MMW_CLS_GPI</t>
  </si>
  <si>
    <t>MMW_CLS_GPIDRUG</t>
  </si>
  <si>
    <t>MMW_CM_DISPLINK</t>
  </si>
  <si>
    <t>MMW_CM_PACKLINK</t>
  </si>
  <si>
    <t>MMW_CM_TEXT</t>
  </si>
  <si>
    <t>MMW_DCK_COM</t>
  </si>
  <si>
    <t>MMW_DCK_DRUGLINK</t>
  </si>
  <si>
    <t>MMW_DDA_AUNIT</t>
  </si>
  <si>
    <t>MMW_DDA_DOSEFORGPI</t>
  </si>
  <si>
    <t>MMW_DDA_DOSEROUTECOMPATABILITY</t>
  </si>
  <si>
    <t>MMW_DDA_GPI_DOSE</t>
  </si>
  <si>
    <t>MMW_DDA_GPI_DOSE_TEXT</t>
  </si>
  <si>
    <t>MMW_DDA_PATIENT_PROFILE</t>
  </si>
  <si>
    <t>MMW_DDA_ROUTE</t>
  </si>
  <si>
    <t>MMW_DDA_TEXT</t>
  </si>
  <si>
    <t>MMW_DDA_UNIT</t>
  </si>
  <si>
    <t>MMW_DDA_UNITCONVERSION</t>
  </si>
  <si>
    <t>MMW_DDA_UNIT_XREF</t>
  </si>
  <si>
    <t>MMW_DFA_INT</t>
  </si>
  <si>
    <t>MMW_DFA_TEXT</t>
  </si>
  <si>
    <t>MMW_DI_CLASSLINK</t>
  </si>
  <si>
    <t>MMW_DI_INT</t>
  </si>
  <si>
    <t>MMW_DI_RPIDLINK</t>
  </si>
  <si>
    <t>MMW_DI_TEXT</t>
  </si>
  <si>
    <t>MMW_DRUG_DISP</t>
  </si>
  <si>
    <t>MMW_DRUG_DISP_IMG</t>
  </si>
  <si>
    <t>MMW_DRUG_DISP_LBLR</t>
  </si>
  <si>
    <t>MMW_DRUG_DOSEFORM</t>
  </si>
  <si>
    <t>MMW_DRUG_GPI</t>
  </si>
  <si>
    <t>MMW_DRUG_GPILINK</t>
  </si>
  <si>
    <t>MMW_DRUG_KDC</t>
  </si>
  <si>
    <t>MMW_DRUG_KDCLINK</t>
  </si>
  <si>
    <t>MMW_DRUG_LABELER</t>
  </si>
  <si>
    <t>MMW_DRUG_NAME</t>
  </si>
  <si>
    <t>MMW_DRUG_PACK</t>
  </si>
  <si>
    <t>MMW_DRUG_PACK_MOD</t>
  </si>
  <si>
    <t>MMW_DRUG_ROUTE</t>
  </si>
  <si>
    <t>MMW_DRUG_ROUTED</t>
  </si>
  <si>
    <t>MMW_DUP_DRUGLINK</t>
  </si>
  <si>
    <t>MMW_DUP_TEXT</t>
  </si>
  <si>
    <t>MMW_FC_DRUGLINK</t>
  </si>
  <si>
    <t>MMW_FC_ELEMENT</t>
  </si>
  <si>
    <t>MMW_FC_SECTION</t>
  </si>
  <si>
    <t>MMW_FC_SECTIONLINK</t>
  </si>
  <si>
    <t>MMW_IMG</t>
  </si>
  <si>
    <t>MMW_IND_COM</t>
  </si>
  <si>
    <t>MMW_IND_COTREAT</t>
  </si>
  <si>
    <t>MMW_IND_DRUGLINK</t>
  </si>
  <si>
    <t>MMW_IND_RPID</t>
  </si>
  <si>
    <t>MMW_IND_SOURCE</t>
  </si>
  <si>
    <t>MMW_IPT</t>
  </si>
  <si>
    <t>MMW_IPT_COLOR</t>
  </si>
  <si>
    <t>MMW_IPT_COLORPAL</t>
  </si>
  <si>
    <t>MMW_IPT_DESC</t>
  </si>
  <si>
    <t>MMW_IPT_DESCCLR</t>
  </si>
  <si>
    <t>MMW_IPT_DESCTEXT</t>
  </si>
  <si>
    <t>MMW_IPT_SHAPE</t>
  </si>
  <si>
    <t>MMW_IPT_SHAPEPAL</t>
  </si>
  <si>
    <t>MMW_LIB_CODEDEF</t>
  </si>
  <si>
    <t>MMW_LIB_DISCLAIMER</t>
  </si>
  <si>
    <t>MMW_LIB_VERSION</t>
  </si>
  <si>
    <t>MMW_MED</t>
  </si>
  <si>
    <t>MMW_MED_CIT</t>
  </si>
  <si>
    <t>MMW_MED_EXTVOCAB</t>
  </si>
  <si>
    <t>MMW_MED_HIER</t>
  </si>
  <si>
    <t>MMW_MED_INTVOCAB</t>
  </si>
  <si>
    <t>MMW_MED_LINK</t>
  </si>
  <si>
    <t>MMW_MED_NAME</t>
  </si>
  <si>
    <t>MMW_MED_TEXT</t>
  </si>
  <si>
    <t>MMW_MED_TEXT_CIT</t>
  </si>
  <si>
    <t>MMW_MONO_CLSNAME</t>
  </si>
  <si>
    <t>MMW_MONO_TEXT</t>
  </si>
  <si>
    <t>MMW_PAR_CLASS</t>
  </si>
  <si>
    <t>MMW_PAR_CLASSLINK</t>
  </si>
  <si>
    <t>MMW_PAR_DRUGLINK</t>
  </si>
  <si>
    <t>MMW_PAR_INGRLINK</t>
  </si>
  <si>
    <t>MMW_PAR_INT</t>
  </si>
  <si>
    <t>MMW_PDE_DRUGLINK</t>
  </si>
  <si>
    <t>MMW_PRCA_COM</t>
  </si>
  <si>
    <t>MMW_PRCA_DRUGLINK</t>
  </si>
  <si>
    <t>MMW_PRCA_SPECCOND</t>
  </si>
  <si>
    <t>MMW_PRCC_COM</t>
  </si>
  <si>
    <t>MMW_PRCC_DRUGLINK</t>
  </si>
  <si>
    <t>MMW_PRCC_SPECCOND</t>
  </si>
  <si>
    <t>MMW_PRI</t>
  </si>
  <si>
    <t>MMW_WL_DRUGLINK</t>
  </si>
  <si>
    <t>MMW_WL_TEXT</t>
  </si>
  <si>
    <t>MMW_WL_VENDCODE</t>
  </si>
  <si>
    <t>TOP_DRUGS</t>
  </si>
  <si>
    <t>schema_name</t>
  </si>
  <si>
    <t>object_name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</si>
</sst>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Segoe UI"/>
      <family val="2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sz val="10"/>
      <color theme="1"/>
      <name val="Arial Unicode MS"/>
    </font>
    <font>
      <b/>
      <sz val="8"/>
      <color rgb="FF3B3B3B"/>
      <name val="Segoe UI"/>
      <family val="2"/>
    </font>
    <font>
      <sz val="8"/>
      <color rgb="FF3B3B3B"/>
      <name val="Segoe UI"/>
      <family val="2"/>
    </font>
    <font>
      <b/>
      <sz val="8"/>
      <color theme="1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8F8F8"/>
        <bgColor indexed="64"/>
      </patternFill>
    </fill>
  </fills>
  <borders count="6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3" fontId="0" fillId="0" borderId="0" xfId="0" applyNumberFormat="1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3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6" borderId="0" xfId="0" applyFill="1"/>
    <xf numFmtId="0" fontId="0" fillId="7" borderId="0" xfId="0" applyFill="1"/>
    <xf numFmtId="0" fontId="0" fillId="0" borderId="0" xfId="0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indent="2"/>
    </xf>
    <xf numFmtId="0" fontId="2" fillId="0" borderId="0" xfId="0" applyFont="1" applyAlignment="1">
      <alignment horizontal="left" vertical="center" indent="2"/>
    </xf>
    <xf numFmtId="0" fontId="7" fillId="8" borderId="2" xfId="0" applyFont="1" applyFill="1" applyBorder="1" applyAlignment="1">
      <alignment vertical="center" wrapText="1"/>
    </xf>
    <xf numFmtId="0" fontId="6" fillId="8" borderId="3" xfId="0" applyFont="1" applyFill="1" applyBorder="1" applyAlignment="1">
      <alignment horizontal="center" vertical="center" wrapText="1"/>
    </xf>
    <xf numFmtId="0" fontId="6" fillId="8" borderId="4" xfId="0" applyFont="1" applyFill="1" applyBorder="1" applyAlignment="1">
      <alignment horizontal="center" vertical="center" wrapText="1"/>
    </xf>
    <xf numFmtId="0" fontId="7" fillId="8" borderId="5" xfId="0" applyFont="1" applyFill="1" applyBorder="1" applyAlignment="1">
      <alignment vertical="center" wrapText="1"/>
    </xf>
    <xf numFmtId="0" fontId="8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2" borderId="0" xfId="0" applyFill="1" applyAlignment="1">
      <alignment horizontal="center" wrapText="1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53767</xdr:colOff>
      <xdr:row>14</xdr:row>
      <xdr:rowOff>152635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1BEEB6-3257-C471-565E-95EA62C68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930567" cy="27129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15664</xdr:colOff>
      <xdr:row>13</xdr:row>
      <xdr:rowOff>99275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EDDE21-1B8F-5406-0B67-645E024CD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892464" cy="24767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BB1CE-E8AB-4E01-92A6-07A0BF0372B4}">
  <dimension ref="A1:I41"/>
  <sheetViews>
    <sheetView workbookViewId="0">
      <selection activeCell="A41" sqref="A41"/>
    </sheetView>
  </sheetViews>
  <sheetFormatPr defaultRowHeight="14.4"/>
  <cols>
    <col min="1" max="1" width="13.77734375" bestFit="1" customWidth="1"/>
    <col min="5" max="5" width="24.6640625" bestFit="1" customWidth="1"/>
  </cols>
  <sheetData>
    <row r="1" spans="1:9" s="2" customFormat="1">
      <c r="A1" s="2" t="s">
        <v>0</v>
      </c>
      <c r="B1" s="2" t="s">
        <v>1</v>
      </c>
      <c r="E1" s="2" t="s">
        <v>14</v>
      </c>
      <c r="F1" s="2" t="s">
        <v>15</v>
      </c>
      <c r="H1" s="2" t="s">
        <v>333</v>
      </c>
      <c r="I1" s="2" t="s">
        <v>156</v>
      </c>
    </row>
    <row r="2" spans="1:9">
      <c r="A2" t="s">
        <v>2</v>
      </c>
      <c r="B2">
        <v>96</v>
      </c>
      <c r="E2" t="s">
        <v>414</v>
      </c>
      <c r="F2">
        <v>29</v>
      </c>
      <c r="H2" t="s">
        <v>168</v>
      </c>
      <c r="I2">
        <v>0</v>
      </c>
    </row>
    <row r="3" spans="1:9">
      <c r="A3" t="s">
        <v>5</v>
      </c>
      <c r="B3">
        <v>1</v>
      </c>
      <c r="E3" t="s">
        <v>415</v>
      </c>
      <c r="F3">
        <v>36</v>
      </c>
      <c r="H3" t="s">
        <v>2</v>
      </c>
      <c r="I3">
        <v>94</v>
      </c>
    </row>
    <row r="4" spans="1:9">
      <c r="A4" t="s">
        <v>6</v>
      </c>
      <c r="B4">
        <v>1</v>
      </c>
      <c r="E4" t="s">
        <v>416</v>
      </c>
      <c r="F4">
        <v>42</v>
      </c>
      <c r="H4" t="s">
        <v>7</v>
      </c>
      <c r="I4">
        <v>16</v>
      </c>
    </row>
    <row r="5" spans="1:9">
      <c r="A5" t="s">
        <v>7</v>
      </c>
      <c r="B5">
        <v>9</v>
      </c>
      <c r="E5" t="s">
        <v>417</v>
      </c>
      <c r="F5">
        <v>4</v>
      </c>
      <c r="H5" t="s">
        <v>8</v>
      </c>
      <c r="I5">
        <v>42</v>
      </c>
    </row>
    <row r="6" spans="1:9">
      <c r="A6" t="s">
        <v>8</v>
      </c>
      <c r="B6">
        <v>42</v>
      </c>
      <c r="E6" t="s">
        <v>418</v>
      </c>
      <c r="F6">
        <v>61</v>
      </c>
      <c r="H6" t="s">
        <v>9</v>
      </c>
      <c r="I6">
        <v>61</v>
      </c>
    </row>
    <row r="7" spans="1:9">
      <c r="A7" t="s">
        <v>9</v>
      </c>
      <c r="B7">
        <v>61</v>
      </c>
      <c r="H7" t="s">
        <v>12</v>
      </c>
      <c r="I7">
        <v>0</v>
      </c>
    </row>
    <row r="12" spans="1:9">
      <c r="A12" s="8" t="s">
        <v>405</v>
      </c>
    </row>
    <row r="13" spans="1:9">
      <c r="A13" s="12"/>
    </row>
    <row r="14" spans="1:9">
      <c r="A14" s="13" t="s">
        <v>406</v>
      </c>
    </row>
    <row r="15" spans="1:9">
      <c r="A15" s="14" t="s">
        <v>407</v>
      </c>
    </row>
    <row r="16" spans="1:9">
      <c r="A16" s="15" t="s">
        <v>408</v>
      </c>
    </row>
    <row r="17" spans="1:5">
      <c r="A17" s="13" t="s">
        <v>409</v>
      </c>
    </row>
    <row r="18" spans="1:5">
      <c r="A18" s="14" t="s">
        <v>410</v>
      </c>
    </row>
    <row r="19" spans="1:5">
      <c r="A19" s="15" t="s">
        <v>411</v>
      </c>
    </row>
    <row r="20" spans="1:5">
      <c r="A20" s="13" t="s">
        <v>412</v>
      </c>
    </row>
    <row r="21" spans="1:5">
      <c r="A21" s="14" t="s">
        <v>410</v>
      </c>
    </row>
    <row r="22" spans="1:5">
      <c r="A22" s="15" t="s">
        <v>413</v>
      </c>
    </row>
    <row r="25" spans="1:5">
      <c r="A25" s="22" t="s">
        <v>556</v>
      </c>
      <c r="B25" s="23"/>
      <c r="C25" s="23"/>
      <c r="D25" s="23"/>
      <c r="E25" s="23"/>
    </row>
    <row r="26" spans="1:5">
      <c r="A26" s="23"/>
      <c r="B26" s="23"/>
      <c r="C26" s="23"/>
      <c r="D26" s="23"/>
      <c r="E26" s="23"/>
    </row>
    <row r="27" spans="1:5">
      <c r="A27" s="23"/>
      <c r="B27" s="23"/>
      <c r="C27" s="23"/>
      <c r="D27" s="23"/>
      <c r="E27" s="23"/>
    </row>
    <row r="28" spans="1:5">
      <c r="A28" s="23"/>
      <c r="B28" s="23"/>
      <c r="C28" s="23"/>
      <c r="D28" s="23"/>
      <c r="E28" s="23"/>
    </row>
    <row r="29" spans="1:5">
      <c r="A29" s="23"/>
      <c r="B29" s="23"/>
      <c r="C29" s="23"/>
      <c r="D29" s="23"/>
      <c r="E29" s="23"/>
    </row>
    <row r="30" spans="1:5">
      <c r="A30" s="23"/>
      <c r="B30" s="23"/>
      <c r="C30" s="23"/>
      <c r="D30" s="23"/>
      <c r="E30" s="23"/>
    </row>
    <row r="33" spans="1:1">
      <c r="A33" s="20" t="s">
        <v>557</v>
      </c>
    </row>
    <row r="34" spans="1:1">
      <c r="A34" s="21"/>
    </row>
    <row r="35" spans="1:1">
      <c r="A35" s="20" t="s">
        <v>558</v>
      </c>
    </row>
    <row r="37" spans="1:1">
      <c r="A37" s="20" t="s">
        <v>559</v>
      </c>
    </row>
    <row r="39" spans="1:1">
      <c r="A39" s="20" t="s">
        <v>560</v>
      </c>
    </row>
    <row r="41" spans="1:1">
      <c r="A41" s="20" t="s">
        <v>561</v>
      </c>
    </row>
  </sheetData>
  <mergeCells count="1">
    <mergeCell ref="A25:E30"/>
  </mergeCells>
  <pageMargins left="0.7" right="0.7" top="0.75" bottom="0.75" header="0.3" footer="0.3"/>
  <pageSetup paperSize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96EB3-9CFE-4447-99D6-EA897F284C24}">
  <dimension ref="A1:P238"/>
  <sheetViews>
    <sheetView workbookViewId="0">
      <selection activeCell="F6" sqref="F6"/>
    </sheetView>
  </sheetViews>
  <sheetFormatPr defaultRowHeight="14.4"/>
  <cols>
    <col min="15" max="15" width="24.88671875" customWidth="1"/>
  </cols>
  <sheetData>
    <row r="1" spans="1:16">
      <c r="A1" t="s">
        <v>0</v>
      </c>
      <c r="B1" t="s">
        <v>1</v>
      </c>
      <c r="E1" s="2" t="s">
        <v>333</v>
      </c>
      <c r="F1" s="2" t="s">
        <v>156</v>
      </c>
      <c r="I1" t="s">
        <v>353</v>
      </c>
      <c r="J1" t="s">
        <v>562</v>
      </c>
      <c r="K1" t="s">
        <v>0</v>
      </c>
      <c r="L1" t="s">
        <v>563</v>
      </c>
      <c r="N1" t="s">
        <v>802</v>
      </c>
      <c r="O1" t="s">
        <v>803</v>
      </c>
      <c r="P1" t="s">
        <v>14</v>
      </c>
    </row>
    <row r="2" spans="1:16">
      <c r="A2" t="s">
        <v>2</v>
      </c>
      <c r="B2">
        <v>142</v>
      </c>
      <c r="E2" t="s">
        <v>168</v>
      </c>
      <c r="F2">
        <v>0</v>
      </c>
      <c r="I2" t="s">
        <v>380</v>
      </c>
      <c r="J2" t="s">
        <v>564</v>
      </c>
      <c r="K2" t="s">
        <v>2</v>
      </c>
      <c r="L2" t="s">
        <v>565</v>
      </c>
      <c r="N2" t="s">
        <v>380</v>
      </c>
      <c r="O2" t="s">
        <v>614</v>
      </c>
      <c r="P2" t="s">
        <v>415</v>
      </c>
    </row>
    <row r="3" spans="1:16">
      <c r="A3" t="s">
        <v>9</v>
      </c>
      <c r="B3">
        <v>95</v>
      </c>
      <c r="E3" t="s">
        <v>2</v>
      </c>
      <c r="F3">
        <v>94</v>
      </c>
      <c r="I3" t="s">
        <v>380</v>
      </c>
      <c r="J3" t="s">
        <v>566</v>
      </c>
      <c r="K3" t="s">
        <v>2</v>
      </c>
      <c r="L3" t="s">
        <v>565</v>
      </c>
      <c r="N3" t="s">
        <v>380</v>
      </c>
      <c r="O3" t="s">
        <v>615</v>
      </c>
      <c r="P3" t="s">
        <v>415</v>
      </c>
    </row>
    <row r="4" spans="1:16">
      <c r="E4" t="s">
        <v>7</v>
      </c>
      <c r="F4">
        <v>0</v>
      </c>
      <c r="I4" t="s">
        <v>380</v>
      </c>
      <c r="J4" t="s">
        <v>567</v>
      </c>
      <c r="K4" t="s">
        <v>2</v>
      </c>
      <c r="L4" t="s">
        <v>565</v>
      </c>
      <c r="N4" t="s">
        <v>380</v>
      </c>
      <c r="O4" t="s">
        <v>616</v>
      </c>
      <c r="P4" t="s">
        <v>415</v>
      </c>
    </row>
    <row r="5" spans="1:16">
      <c r="E5" t="s">
        <v>8</v>
      </c>
      <c r="F5">
        <v>0</v>
      </c>
      <c r="I5" t="s">
        <v>380</v>
      </c>
      <c r="J5" t="s">
        <v>568</v>
      </c>
      <c r="K5" t="s">
        <v>2</v>
      </c>
      <c r="L5" t="s">
        <v>565</v>
      </c>
      <c r="N5" t="s">
        <v>380</v>
      </c>
      <c r="O5" t="s">
        <v>617</v>
      </c>
      <c r="P5" t="s">
        <v>415</v>
      </c>
    </row>
    <row r="6" spans="1:16">
      <c r="E6" t="s">
        <v>9</v>
      </c>
      <c r="F6">
        <v>95</v>
      </c>
      <c r="I6" t="s">
        <v>380</v>
      </c>
      <c r="J6" t="s">
        <v>569</v>
      </c>
      <c r="K6" t="s">
        <v>2</v>
      </c>
      <c r="L6" t="s">
        <v>565</v>
      </c>
      <c r="N6" t="s">
        <v>380</v>
      </c>
      <c r="O6" t="s">
        <v>618</v>
      </c>
      <c r="P6" t="s">
        <v>415</v>
      </c>
    </row>
    <row r="7" spans="1:16">
      <c r="E7" t="s">
        <v>12</v>
      </c>
      <c r="F7">
        <v>0</v>
      </c>
      <c r="I7" t="s">
        <v>380</v>
      </c>
      <c r="J7" t="s">
        <v>570</v>
      </c>
      <c r="K7" t="s">
        <v>2</v>
      </c>
      <c r="L7" t="s">
        <v>565</v>
      </c>
      <c r="N7" t="s">
        <v>380</v>
      </c>
      <c r="O7" t="s">
        <v>619</v>
      </c>
      <c r="P7" t="s">
        <v>415</v>
      </c>
    </row>
    <row r="8" spans="1:16">
      <c r="I8" t="s">
        <v>380</v>
      </c>
      <c r="J8" t="s">
        <v>571</v>
      </c>
      <c r="K8" t="s">
        <v>2</v>
      </c>
      <c r="L8" t="s">
        <v>565</v>
      </c>
      <c r="N8" t="s">
        <v>380</v>
      </c>
      <c r="O8" t="s">
        <v>620</v>
      </c>
      <c r="P8" t="s">
        <v>415</v>
      </c>
    </row>
    <row r="9" spans="1:16">
      <c r="I9" t="s">
        <v>380</v>
      </c>
      <c r="J9" t="s">
        <v>572</v>
      </c>
      <c r="K9" t="s">
        <v>2</v>
      </c>
      <c r="L9" t="s">
        <v>565</v>
      </c>
      <c r="N9" t="s">
        <v>380</v>
      </c>
      <c r="O9" t="s">
        <v>621</v>
      </c>
      <c r="P9" t="s">
        <v>415</v>
      </c>
    </row>
    <row r="10" spans="1:16">
      <c r="I10" t="s">
        <v>380</v>
      </c>
      <c r="J10" t="s">
        <v>573</v>
      </c>
      <c r="K10" t="s">
        <v>2</v>
      </c>
      <c r="L10" t="s">
        <v>565</v>
      </c>
      <c r="N10" t="s">
        <v>380</v>
      </c>
      <c r="O10" t="s">
        <v>622</v>
      </c>
      <c r="P10" t="s">
        <v>415</v>
      </c>
    </row>
    <row r="11" spans="1:16">
      <c r="I11" t="s">
        <v>380</v>
      </c>
      <c r="J11" t="s">
        <v>574</v>
      </c>
      <c r="K11" t="s">
        <v>2</v>
      </c>
      <c r="L11" t="s">
        <v>565</v>
      </c>
      <c r="N11" t="s">
        <v>380</v>
      </c>
      <c r="O11" t="s">
        <v>623</v>
      </c>
      <c r="P11" t="s">
        <v>415</v>
      </c>
    </row>
    <row r="12" spans="1:16">
      <c r="I12" t="s">
        <v>380</v>
      </c>
      <c r="J12" t="s">
        <v>575</v>
      </c>
      <c r="K12" t="s">
        <v>2</v>
      </c>
      <c r="L12" t="s">
        <v>565</v>
      </c>
      <c r="N12" t="s">
        <v>380</v>
      </c>
      <c r="O12" t="s">
        <v>624</v>
      </c>
      <c r="P12" t="s">
        <v>415</v>
      </c>
    </row>
    <row r="13" spans="1:16">
      <c r="I13" t="s">
        <v>380</v>
      </c>
      <c r="J13" t="s">
        <v>576</v>
      </c>
      <c r="K13" t="s">
        <v>2</v>
      </c>
      <c r="L13" t="s">
        <v>565</v>
      </c>
      <c r="N13" t="s">
        <v>380</v>
      </c>
      <c r="O13" t="s">
        <v>625</v>
      </c>
      <c r="P13" t="s">
        <v>415</v>
      </c>
    </row>
    <row r="14" spans="1:16">
      <c r="I14" t="s">
        <v>380</v>
      </c>
      <c r="J14" t="s">
        <v>577</v>
      </c>
      <c r="K14" t="s">
        <v>2</v>
      </c>
      <c r="L14" t="s">
        <v>565</v>
      </c>
      <c r="N14" t="s">
        <v>380</v>
      </c>
      <c r="O14" t="s">
        <v>626</v>
      </c>
      <c r="P14" t="s">
        <v>415</v>
      </c>
    </row>
    <row r="15" spans="1:16">
      <c r="I15" t="s">
        <v>380</v>
      </c>
      <c r="J15" t="s">
        <v>578</v>
      </c>
      <c r="K15" t="s">
        <v>2</v>
      </c>
      <c r="L15" t="s">
        <v>565</v>
      </c>
      <c r="N15" t="s">
        <v>380</v>
      </c>
      <c r="O15" t="s">
        <v>627</v>
      </c>
      <c r="P15" t="s">
        <v>415</v>
      </c>
    </row>
    <row r="16" spans="1:16">
      <c r="I16" t="s">
        <v>380</v>
      </c>
      <c r="J16" t="s">
        <v>579</v>
      </c>
      <c r="K16" t="s">
        <v>2</v>
      </c>
      <c r="L16" t="s">
        <v>565</v>
      </c>
      <c r="N16" t="s">
        <v>380</v>
      </c>
      <c r="O16" t="s">
        <v>628</v>
      </c>
      <c r="P16" t="s">
        <v>415</v>
      </c>
    </row>
    <row r="17" spans="9:16">
      <c r="I17" t="s">
        <v>380</v>
      </c>
      <c r="J17" t="s">
        <v>580</v>
      </c>
      <c r="K17" t="s">
        <v>2</v>
      </c>
      <c r="L17" t="s">
        <v>565</v>
      </c>
      <c r="N17" t="s">
        <v>380</v>
      </c>
      <c r="O17" t="s">
        <v>629</v>
      </c>
      <c r="P17" t="s">
        <v>415</v>
      </c>
    </row>
    <row r="18" spans="9:16">
      <c r="I18" t="s">
        <v>380</v>
      </c>
      <c r="J18" t="s">
        <v>581</v>
      </c>
      <c r="K18" t="s">
        <v>2</v>
      </c>
      <c r="L18" t="s">
        <v>565</v>
      </c>
      <c r="N18" t="s">
        <v>380</v>
      </c>
      <c r="O18" t="s">
        <v>630</v>
      </c>
      <c r="P18" t="s">
        <v>415</v>
      </c>
    </row>
    <row r="19" spans="9:16">
      <c r="I19" t="s">
        <v>380</v>
      </c>
      <c r="J19" t="s">
        <v>582</v>
      </c>
      <c r="K19" t="s">
        <v>2</v>
      </c>
      <c r="L19" t="s">
        <v>565</v>
      </c>
      <c r="N19" t="s">
        <v>380</v>
      </c>
      <c r="O19" t="s">
        <v>631</v>
      </c>
      <c r="P19" t="s">
        <v>415</v>
      </c>
    </row>
    <row r="20" spans="9:16">
      <c r="I20" t="s">
        <v>380</v>
      </c>
      <c r="J20" t="s">
        <v>583</v>
      </c>
      <c r="K20" t="s">
        <v>2</v>
      </c>
      <c r="L20" t="s">
        <v>565</v>
      </c>
      <c r="N20" t="s">
        <v>380</v>
      </c>
      <c r="O20" t="s">
        <v>632</v>
      </c>
      <c r="P20" t="s">
        <v>415</v>
      </c>
    </row>
    <row r="21" spans="9:16">
      <c r="I21" t="s">
        <v>380</v>
      </c>
      <c r="J21" t="s">
        <v>584</v>
      </c>
      <c r="K21" t="s">
        <v>2</v>
      </c>
      <c r="L21" t="s">
        <v>565</v>
      </c>
      <c r="N21" t="s">
        <v>380</v>
      </c>
      <c r="O21" t="s">
        <v>633</v>
      </c>
      <c r="P21" t="s">
        <v>415</v>
      </c>
    </row>
    <row r="22" spans="9:16">
      <c r="I22" t="s">
        <v>380</v>
      </c>
      <c r="J22" t="s">
        <v>585</v>
      </c>
      <c r="K22" t="s">
        <v>2</v>
      </c>
      <c r="L22" t="s">
        <v>565</v>
      </c>
      <c r="N22" t="s">
        <v>380</v>
      </c>
      <c r="O22" t="s">
        <v>634</v>
      </c>
      <c r="P22" t="s">
        <v>415</v>
      </c>
    </row>
    <row r="23" spans="9:16">
      <c r="I23" t="s">
        <v>380</v>
      </c>
      <c r="J23" t="s">
        <v>586</v>
      </c>
      <c r="K23" t="s">
        <v>2</v>
      </c>
      <c r="L23" t="s">
        <v>565</v>
      </c>
      <c r="N23" t="s">
        <v>380</v>
      </c>
      <c r="O23" t="s">
        <v>635</v>
      </c>
      <c r="P23" t="s">
        <v>415</v>
      </c>
    </row>
    <row r="24" spans="9:16">
      <c r="I24" t="s">
        <v>380</v>
      </c>
      <c r="J24" t="s">
        <v>587</v>
      </c>
      <c r="K24" t="s">
        <v>2</v>
      </c>
      <c r="L24" t="s">
        <v>565</v>
      </c>
      <c r="N24" t="s">
        <v>380</v>
      </c>
      <c r="O24" t="s">
        <v>636</v>
      </c>
      <c r="P24" t="s">
        <v>415</v>
      </c>
    </row>
    <row r="25" spans="9:16">
      <c r="I25" t="s">
        <v>380</v>
      </c>
      <c r="J25" t="s">
        <v>588</v>
      </c>
      <c r="K25" t="s">
        <v>2</v>
      </c>
      <c r="L25" t="s">
        <v>565</v>
      </c>
      <c r="N25" t="s">
        <v>380</v>
      </c>
      <c r="O25" t="s">
        <v>637</v>
      </c>
      <c r="P25" t="s">
        <v>415</v>
      </c>
    </row>
    <row r="26" spans="9:16">
      <c r="I26" t="s">
        <v>380</v>
      </c>
      <c r="J26" t="s">
        <v>589</v>
      </c>
      <c r="K26" t="s">
        <v>2</v>
      </c>
      <c r="L26" t="s">
        <v>565</v>
      </c>
      <c r="N26" t="s">
        <v>380</v>
      </c>
      <c r="O26" t="s">
        <v>638</v>
      </c>
      <c r="P26" t="s">
        <v>415</v>
      </c>
    </row>
    <row r="27" spans="9:16">
      <c r="I27" t="s">
        <v>380</v>
      </c>
      <c r="J27" t="s">
        <v>590</v>
      </c>
      <c r="K27" t="s">
        <v>2</v>
      </c>
      <c r="L27" t="s">
        <v>565</v>
      </c>
      <c r="N27" t="s">
        <v>380</v>
      </c>
      <c r="O27" t="s">
        <v>639</v>
      </c>
      <c r="P27" t="s">
        <v>415</v>
      </c>
    </row>
    <row r="28" spans="9:16">
      <c r="I28" t="s">
        <v>380</v>
      </c>
      <c r="J28" t="s">
        <v>591</v>
      </c>
      <c r="K28" t="s">
        <v>2</v>
      </c>
      <c r="L28" t="s">
        <v>565</v>
      </c>
      <c r="N28" t="s">
        <v>380</v>
      </c>
      <c r="O28" t="s">
        <v>640</v>
      </c>
      <c r="P28" t="s">
        <v>415</v>
      </c>
    </row>
    <row r="29" spans="9:16">
      <c r="I29" t="s">
        <v>380</v>
      </c>
      <c r="J29" t="s">
        <v>592</v>
      </c>
      <c r="K29" t="s">
        <v>2</v>
      </c>
      <c r="L29" t="s">
        <v>565</v>
      </c>
      <c r="N29" t="s">
        <v>380</v>
      </c>
      <c r="O29" t="s">
        <v>641</v>
      </c>
      <c r="P29" t="s">
        <v>415</v>
      </c>
    </row>
    <row r="30" spans="9:16">
      <c r="I30" t="s">
        <v>380</v>
      </c>
      <c r="J30" t="s">
        <v>593</v>
      </c>
      <c r="K30" t="s">
        <v>2</v>
      </c>
      <c r="L30" t="s">
        <v>565</v>
      </c>
      <c r="N30" t="s">
        <v>380</v>
      </c>
      <c r="O30" t="s">
        <v>642</v>
      </c>
      <c r="P30" t="s">
        <v>415</v>
      </c>
    </row>
    <row r="31" spans="9:16">
      <c r="I31" t="s">
        <v>380</v>
      </c>
      <c r="J31" t="s">
        <v>594</v>
      </c>
      <c r="K31" t="s">
        <v>2</v>
      </c>
      <c r="L31" t="s">
        <v>565</v>
      </c>
      <c r="N31" t="s">
        <v>380</v>
      </c>
      <c r="O31" t="s">
        <v>643</v>
      </c>
      <c r="P31" t="s">
        <v>415</v>
      </c>
    </row>
    <row r="32" spans="9:16">
      <c r="I32" t="s">
        <v>380</v>
      </c>
      <c r="J32" t="s">
        <v>595</v>
      </c>
      <c r="K32" t="s">
        <v>2</v>
      </c>
      <c r="L32" t="s">
        <v>565</v>
      </c>
      <c r="N32" t="s">
        <v>380</v>
      </c>
      <c r="O32" t="s">
        <v>644</v>
      </c>
      <c r="P32" t="s">
        <v>415</v>
      </c>
    </row>
    <row r="33" spans="9:16">
      <c r="I33" t="s">
        <v>380</v>
      </c>
      <c r="J33" t="s">
        <v>596</v>
      </c>
      <c r="K33" t="s">
        <v>2</v>
      </c>
      <c r="L33" t="s">
        <v>565</v>
      </c>
      <c r="N33" t="s">
        <v>380</v>
      </c>
      <c r="O33" t="s">
        <v>645</v>
      </c>
      <c r="P33" t="s">
        <v>415</v>
      </c>
    </row>
    <row r="34" spans="9:16">
      <c r="I34" t="s">
        <v>380</v>
      </c>
      <c r="J34" t="s">
        <v>597</v>
      </c>
      <c r="K34" t="s">
        <v>2</v>
      </c>
      <c r="L34" t="s">
        <v>565</v>
      </c>
      <c r="N34" t="s">
        <v>380</v>
      </c>
      <c r="O34" t="s">
        <v>646</v>
      </c>
      <c r="P34" t="s">
        <v>415</v>
      </c>
    </row>
    <row r="35" spans="9:16">
      <c r="I35" t="s">
        <v>380</v>
      </c>
      <c r="J35" t="s">
        <v>598</v>
      </c>
      <c r="K35" t="s">
        <v>2</v>
      </c>
      <c r="L35" t="s">
        <v>565</v>
      </c>
      <c r="N35" t="s">
        <v>380</v>
      </c>
      <c r="O35" t="s">
        <v>647</v>
      </c>
      <c r="P35" t="s">
        <v>415</v>
      </c>
    </row>
    <row r="36" spans="9:16">
      <c r="I36" t="s">
        <v>380</v>
      </c>
      <c r="J36" t="s">
        <v>599</v>
      </c>
      <c r="K36" t="s">
        <v>2</v>
      </c>
      <c r="L36" t="s">
        <v>565</v>
      </c>
      <c r="N36" t="s">
        <v>380</v>
      </c>
      <c r="O36" t="s">
        <v>648</v>
      </c>
      <c r="P36" t="s">
        <v>415</v>
      </c>
    </row>
    <row r="37" spans="9:16">
      <c r="I37" t="s">
        <v>380</v>
      </c>
      <c r="J37" t="s">
        <v>600</v>
      </c>
      <c r="K37" t="s">
        <v>2</v>
      </c>
      <c r="L37" t="s">
        <v>565</v>
      </c>
      <c r="N37" t="s">
        <v>380</v>
      </c>
      <c r="O37" t="s">
        <v>649</v>
      </c>
      <c r="P37" t="s">
        <v>415</v>
      </c>
    </row>
    <row r="38" spans="9:16">
      <c r="I38" t="s">
        <v>380</v>
      </c>
      <c r="J38" t="s">
        <v>601</v>
      </c>
      <c r="K38" t="s">
        <v>2</v>
      </c>
      <c r="L38" t="s">
        <v>565</v>
      </c>
      <c r="N38" t="s">
        <v>380</v>
      </c>
      <c r="O38" t="s">
        <v>650</v>
      </c>
      <c r="P38" t="s">
        <v>415</v>
      </c>
    </row>
    <row r="39" spans="9:16">
      <c r="I39" t="s">
        <v>380</v>
      </c>
      <c r="J39" t="s">
        <v>602</v>
      </c>
      <c r="K39" t="s">
        <v>2</v>
      </c>
      <c r="L39" t="s">
        <v>565</v>
      </c>
      <c r="N39" t="s">
        <v>380</v>
      </c>
      <c r="O39" t="s">
        <v>651</v>
      </c>
      <c r="P39" t="s">
        <v>415</v>
      </c>
    </row>
    <row r="40" spans="9:16">
      <c r="I40" t="s">
        <v>380</v>
      </c>
      <c r="J40" t="s">
        <v>603</v>
      </c>
      <c r="K40" t="s">
        <v>2</v>
      </c>
      <c r="L40" t="s">
        <v>565</v>
      </c>
      <c r="N40" t="s">
        <v>380</v>
      </c>
      <c r="O40" t="s">
        <v>652</v>
      </c>
      <c r="P40" t="s">
        <v>415</v>
      </c>
    </row>
    <row r="41" spans="9:16">
      <c r="I41" t="s">
        <v>380</v>
      </c>
      <c r="J41" t="s">
        <v>604</v>
      </c>
      <c r="K41" t="s">
        <v>2</v>
      </c>
      <c r="L41" t="s">
        <v>565</v>
      </c>
      <c r="N41" t="s">
        <v>380</v>
      </c>
      <c r="O41" t="s">
        <v>653</v>
      </c>
      <c r="P41" t="s">
        <v>415</v>
      </c>
    </row>
    <row r="42" spans="9:16">
      <c r="I42" t="s">
        <v>380</v>
      </c>
      <c r="J42" t="s">
        <v>605</v>
      </c>
      <c r="K42" t="s">
        <v>2</v>
      </c>
      <c r="L42" t="s">
        <v>565</v>
      </c>
      <c r="N42" t="s">
        <v>380</v>
      </c>
      <c r="O42" t="s">
        <v>654</v>
      </c>
      <c r="P42" t="s">
        <v>415</v>
      </c>
    </row>
    <row r="43" spans="9:16">
      <c r="I43" t="s">
        <v>380</v>
      </c>
      <c r="J43" t="s">
        <v>606</v>
      </c>
      <c r="K43" t="s">
        <v>2</v>
      </c>
      <c r="L43" t="s">
        <v>565</v>
      </c>
      <c r="N43" t="s">
        <v>380</v>
      </c>
      <c r="O43" t="s">
        <v>655</v>
      </c>
      <c r="P43" t="s">
        <v>415</v>
      </c>
    </row>
    <row r="44" spans="9:16">
      <c r="I44" t="s">
        <v>380</v>
      </c>
      <c r="J44" t="s">
        <v>607</v>
      </c>
      <c r="K44" t="s">
        <v>2</v>
      </c>
      <c r="L44" t="s">
        <v>565</v>
      </c>
      <c r="N44" t="s">
        <v>380</v>
      </c>
      <c r="O44" t="s">
        <v>656</v>
      </c>
      <c r="P44" t="s">
        <v>415</v>
      </c>
    </row>
    <row r="45" spans="9:16">
      <c r="I45" t="s">
        <v>380</v>
      </c>
      <c r="J45" t="s">
        <v>608</v>
      </c>
      <c r="K45" t="s">
        <v>2</v>
      </c>
      <c r="L45" t="s">
        <v>565</v>
      </c>
      <c r="N45" t="s">
        <v>380</v>
      </c>
      <c r="O45" t="s">
        <v>657</v>
      </c>
      <c r="P45" t="s">
        <v>415</v>
      </c>
    </row>
    <row r="46" spans="9:16">
      <c r="I46" t="s">
        <v>380</v>
      </c>
      <c r="J46" t="s">
        <v>609</v>
      </c>
      <c r="K46" t="s">
        <v>2</v>
      </c>
      <c r="L46" t="s">
        <v>565</v>
      </c>
      <c r="N46" t="s">
        <v>380</v>
      </c>
      <c r="O46" t="s">
        <v>658</v>
      </c>
      <c r="P46" t="s">
        <v>415</v>
      </c>
    </row>
    <row r="47" spans="9:16">
      <c r="I47" t="s">
        <v>380</v>
      </c>
      <c r="J47" t="s">
        <v>610</v>
      </c>
      <c r="K47" t="s">
        <v>2</v>
      </c>
      <c r="L47" t="s">
        <v>565</v>
      </c>
      <c r="N47" t="s">
        <v>380</v>
      </c>
      <c r="O47" t="s">
        <v>659</v>
      </c>
      <c r="P47" t="s">
        <v>415</v>
      </c>
    </row>
    <row r="48" spans="9:16">
      <c r="I48" t="s">
        <v>380</v>
      </c>
      <c r="J48" t="s">
        <v>611</v>
      </c>
      <c r="K48" t="s">
        <v>2</v>
      </c>
      <c r="L48" t="s">
        <v>565</v>
      </c>
      <c r="N48" t="s">
        <v>380</v>
      </c>
      <c r="O48" t="s">
        <v>660</v>
      </c>
      <c r="P48" t="s">
        <v>415</v>
      </c>
    </row>
    <row r="49" spans="9:16">
      <c r="I49" t="s">
        <v>380</v>
      </c>
      <c r="J49" t="s">
        <v>612</v>
      </c>
      <c r="K49" t="s">
        <v>2</v>
      </c>
      <c r="L49" t="s">
        <v>565</v>
      </c>
      <c r="N49" t="s">
        <v>380</v>
      </c>
      <c r="O49" t="s">
        <v>661</v>
      </c>
      <c r="P49" t="s">
        <v>415</v>
      </c>
    </row>
    <row r="50" spans="9:16">
      <c r="I50" t="s">
        <v>380</v>
      </c>
      <c r="J50" t="s">
        <v>613</v>
      </c>
      <c r="K50" t="s">
        <v>2</v>
      </c>
      <c r="L50" t="s">
        <v>565</v>
      </c>
      <c r="N50" t="s">
        <v>380</v>
      </c>
      <c r="O50" t="s">
        <v>662</v>
      </c>
      <c r="P50" t="s">
        <v>415</v>
      </c>
    </row>
    <row r="51" spans="9:16">
      <c r="I51" t="s">
        <v>380</v>
      </c>
      <c r="J51" t="s">
        <v>614</v>
      </c>
      <c r="K51" t="s">
        <v>2</v>
      </c>
      <c r="L51" t="s">
        <v>565</v>
      </c>
      <c r="N51" t="s">
        <v>380</v>
      </c>
      <c r="O51" t="s">
        <v>663</v>
      </c>
      <c r="P51" t="s">
        <v>415</v>
      </c>
    </row>
    <row r="52" spans="9:16">
      <c r="I52" t="s">
        <v>380</v>
      </c>
      <c r="J52" t="s">
        <v>615</v>
      </c>
      <c r="K52" t="s">
        <v>2</v>
      </c>
      <c r="L52" t="s">
        <v>565</v>
      </c>
      <c r="N52" t="s">
        <v>380</v>
      </c>
      <c r="O52" t="s">
        <v>664</v>
      </c>
      <c r="P52" t="s">
        <v>415</v>
      </c>
    </row>
    <row r="53" spans="9:16">
      <c r="I53" t="s">
        <v>380</v>
      </c>
      <c r="J53" t="s">
        <v>616</v>
      </c>
      <c r="K53" t="s">
        <v>2</v>
      </c>
      <c r="L53" t="s">
        <v>565</v>
      </c>
      <c r="N53" t="s">
        <v>380</v>
      </c>
      <c r="O53" t="s">
        <v>665</v>
      </c>
      <c r="P53" t="s">
        <v>415</v>
      </c>
    </row>
    <row r="54" spans="9:16">
      <c r="I54" t="s">
        <v>380</v>
      </c>
      <c r="J54" t="s">
        <v>617</v>
      </c>
      <c r="K54" t="s">
        <v>2</v>
      </c>
      <c r="L54" t="s">
        <v>565</v>
      </c>
      <c r="N54" t="s">
        <v>380</v>
      </c>
      <c r="O54" t="s">
        <v>666</v>
      </c>
      <c r="P54" t="s">
        <v>415</v>
      </c>
    </row>
    <row r="55" spans="9:16">
      <c r="I55" t="s">
        <v>380</v>
      </c>
      <c r="J55" t="s">
        <v>618</v>
      </c>
      <c r="K55" t="s">
        <v>2</v>
      </c>
      <c r="L55" t="s">
        <v>565</v>
      </c>
      <c r="N55" t="s">
        <v>380</v>
      </c>
      <c r="O55" t="s">
        <v>667</v>
      </c>
      <c r="P55" t="s">
        <v>415</v>
      </c>
    </row>
    <row r="56" spans="9:16">
      <c r="I56" t="s">
        <v>380</v>
      </c>
      <c r="J56" t="s">
        <v>619</v>
      </c>
      <c r="K56" t="s">
        <v>2</v>
      </c>
      <c r="L56" t="s">
        <v>565</v>
      </c>
      <c r="N56" t="s">
        <v>380</v>
      </c>
      <c r="O56" t="s">
        <v>668</v>
      </c>
      <c r="P56" t="s">
        <v>415</v>
      </c>
    </row>
    <row r="57" spans="9:16">
      <c r="I57" t="s">
        <v>380</v>
      </c>
      <c r="J57" t="s">
        <v>620</v>
      </c>
      <c r="K57" t="s">
        <v>2</v>
      </c>
      <c r="L57" t="s">
        <v>565</v>
      </c>
      <c r="N57" t="s">
        <v>380</v>
      </c>
      <c r="O57" t="s">
        <v>669</v>
      </c>
      <c r="P57" t="s">
        <v>415</v>
      </c>
    </row>
    <row r="58" spans="9:16">
      <c r="I58" t="s">
        <v>380</v>
      </c>
      <c r="J58" t="s">
        <v>621</v>
      </c>
      <c r="K58" t="s">
        <v>2</v>
      </c>
      <c r="L58" t="s">
        <v>565</v>
      </c>
      <c r="N58" t="s">
        <v>380</v>
      </c>
      <c r="O58" t="s">
        <v>670</v>
      </c>
      <c r="P58" t="s">
        <v>415</v>
      </c>
    </row>
    <row r="59" spans="9:16">
      <c r="I59" t="s">
        <v>380</v>
      </c>
      <c r="J59" t="s">
        <v>622</v>
      </c>
      <c r="K59" t="s">
        <v>2</v>
      </c>
      <c r="L59" t="s">
        <v>565</v>
      </c>
      <c r="N59" t="s">
        <v>380</v>
      </c>
      <c r="O59" t="s">
        <v>671</v>
      </c>
      <c r="P59" t="s">
        <v>415</v>
      </c>
    </row>
    <row r="60" spans="9:16">
      <c r="I60" t="s">
        <v>380</v>
      </c>
      <c r="J60" t="s">
        <v>623</v>
      </c>
      <c r="K60" t="s">
        <v>2</v>
      </c>
      <c r="L60" t="s">
        <v>565</v>
      </c>
      <c r="N60" t="s">
        <v>380</v>
      </c>
      <c r="O60" t="s">
        <v>672</v>
      </c>
      <c r="P60" t="s">
        <v>415</v>
      </c>
    </row>
    <row r="61" spans="9:16">
      <c r="I61" t="s">
        <v>380</v>
      </c>
      <c r="J61" t="s">
        <v>624</v>
      </c>
      <c r="K61" t="s">
        <v>2</v>
      </c>
      <c r="L61" t="s">
        <v>565</v>
      </c>
      <c r="N61" t="s">
        <v>380</v>
      </c>
      <c r="O61" t="s">
        <v>673</v>
      </c>
      <c r="P61" t="s">
        <v>415</v>
      </c>
    </row>
    <row r="62" spans="9:16">
      <c r="I62" t="s">
        <v>380</v>
      </c>
      <c r="J62" t="s">
        <v>625</v>
      </c>
      <c r="K62" t="s">
        <v>2</v>
      </c>
      <c r="L62" t="s">
        <v>565</v>
      </c>
      <c r="N62" t="s">
        <v>380</v>
      </c>
      <c r="O62" t="s">
        <v>674</v>
      </c>
      <c r="P62" t="s">
        <v>415</v>
      </c>
    </row>
    <row r="63" spans="9:16">
      <c r="I63" t="s">
        <v>380</v>
      </c>
      <c r="J63" t="s">
        <v>626</v>
      </c>
      <c r="K63" t="s">
        <v>2</v>
      </c>
      <c r="L63" t="s">
        <v>565</v>
      </c>
      <c r="N63" t="s">
        <v>380</v>
      </c>
      <c r="O63" t="s">
        <v>675</v>
      </c>
      <c r="P63" t="s">
        <v>415</v>
      </c>
    </row>
    <row r="64" spans="9:16">
      <c r="I64" t="s">
        <v>380</v>
      </c>
      <c r="J64" t="s">
        <v>627</v>
      </c>
      <c r="K64" t="s">
        <v>2</v>
      </c>
      <c r="L64" t="s">
        <v>565</v>
      </c>
      <c r="N64" t="s">
        <v>380</v>
      </c>
      <c r="O64" t="s">
        <v>676</v>
      </c>
      <c r="P64" t="s">
        <v>415</v>
      </c>
    </row>
    <row r="65" spans="9:16">
      <c r="I65" t="s">
        <v>380</v>
      </c>
      <c r="J65" t="s">
        <v>628</v>
      </c>
      <c r="K65" t="s">
        <v>2</v>
      </c>
      <c r="L65" t="s">
        <v>565</v>
      </c>
      <c r="N65" t="s">
        <v>380</v>
      </c>
      <c r="O65" t="s">
        <v>677</v>
      </c>
      <c r="P65" t="s">
        <v>415</v>
      </c>
    </row>
    <row r="66" spans="9:16">
      <c r="I66" t="s">
        <v>380</v>
      </c>
      <c r="J66" t="s">
        <v>629</v>
      </c>
      <c r="K66" t="s">
        <v>2</v>
      </c>
      <c r="L66" t="s">
        <v>565</v>
      </c>
      <c r="N66" t="s">
        <v>380</v>
      </c>
      <c r="O66" t="s">
        <v>678</v>
      </c>
      <c r="P66" t="s">
        <v>415</v>
      </c>
    </row>
    <row r="67" spans="9:16">
      <c r="I67" t="s">
        <v>380</v>
      </c>
      <c r="J67" t="s">
        <v>630</v>
      </c>
      <c r="K67" t="s">
        <v>2</v>
      </c>
      <c r="L67" t="s">
        <v>565</v>
      </c>
      <c r="N67" t="s">
        <v>380</v>
      </c>
      <c r="O67" t="s">
        <v>679</v>
      </c>
      <c r="P67" t="s">
        <v>415</v>
      </c>
    </row>
    <row r="68" spans="9:16">
      <c r="I68" t="s">
        <v>380</v>
      </c>
      <c r="J68" t="s">
        <v>631</v>
      </c>
      <c r="K68" t="s">
        <v>2</v>
      </c>
      <c r="L68" t="s">
        <v>565</v>
      </c>
      <c r="N68" t="s">
        <v>380</v>
      </c>
      <c r="O68" t="s">
        <v>680</v>
      </c>
      <c r="P68" t="s">
        <v>415</v>
      </c>
    </row>
    <row r="69" spans="9:16">
      <c r="I69" t="s">
        <v>380</v>
      </c>
      <c r="J69" t="s">
        <v>632</v>
      </c>
      <c r="K69" t="s">
        <v>2</v>
      </c>
      <c r="L69" t="s">
        <v>565</v>
      </c>
      <c r="N69" t="s">
        <v>380</v>
      </c>
      <c r="O69" t="s">
        <v>681</v>
      </c>
      <c r="P69" t="s">
        <v>415</v>
      </c>
    </row>
    <row r="70" spans="9:16">
      <c r="I70" t="s">
        <v>380</v>
      </c>
      <c r="J70" t="s">
        <v>633</v>
      </c>
      <c r="K70" t="s">
        <v>2</v>
      </c>
      <c r="L70" t="s">
        <v>565</v>
      </c>
      <c r="N70" t="s">
        <v>380</v>
      </c>
      <c r="O70" t="s">
        <v>682</v>
      </c>
      <c r="P70" t="s">
        <v>415</v>
      </c>
    </row>
    <row r="71" spans="9:16">
      <c r="I71" t="s">
        <v>380</v>
      </c>
      <c r="J71" t="s">
        <v>634</v>
      </c>
      <c r="K71" t="s">
        <v>2</v>
      </c>
      <c r="L71" t="s">
        <v>565</v>
      </c>
      <c r="N71" t="s">
        <v>380</v>
      </c>
      <c r="O71" t="s">
        <v>683</v>
      </c>
      <c r="P71" t="s">
        <v>415</v>
      </c>
    </row>
    <row r="72" spans="9:16">
      <c r="I72" t="s">
        <v>380</v>
      </c>
      <c r="J72" t="s">
        <v>635</v>
      </c>
      <c r="K72" t="s">
        <v>2</v>
      </c>
      <c r="L72" t="s">
        <v>565</v>
      </c>
      <c r="N72" t="s">
        <v>380</v>
      </c>
      <c r="O72" t="s">
        <v>684</v>
      </c>
      <c r="P72" t="s">
        <v>415</v>
      </c>
    </row>
    <row r="73" spans="9:16">
      <c r="I73" t="s">
        <v>380</v>
      </c>
      <c r="J73" t="s">
        <v>636</v>
      </c>
      <c r="K73" t="s">
        <v>2</v>
      </c>
      <c r="L73" t="s">
        <v>565</v>
      </c>
      <c r="N73" t="s">
        <v>380</v>
      </c>
      <c r="O73" t="s">
        <v>685</v>
      </c>
      <c r="P73" t="s">
        <v>415</v>
      </c>
    </row>
    <row r="74" spans="9:16">
      <c r="I74" t="s">
        <v>380</v>
      </c>
      <c r="J74" t="s">
        <v>637</v>
      </c>
      <c r="K74" t="s">
        <v>2</v>
      </c>
      <c r="L74" t="s">
        <v>565</v>
      </c>
      <c r="N74" t="s">
        <v>380</v>
      </c>
      <c r="O74" t="s">
        <v>686</v>
      </c>
      <c r="P74" t="s">
        <v>415</v>
      </c>
    </row>
    <row r="75" spans="9:16">
      <c r="I75" t="s">
        <v>380</v>
      </c>
      <c r="J75" t="s">
        <v>638</v>
      </c>
      <c r="K75" t="s">
        <v>2</v>
      </c>
      <c r="L75" t="s">
        <v>565</v>
      </c>
      <c r="N75" t="s">
        <v>380</v>
      </c>
      <c r="O75" t="s">
        <v>687</v>
      </c>
      <c r="P75" t="s">
        <v>415</v>
      </c>
    </row>
    <row r="76" spans="9:16">
      <c r="I76" t="s">
        <v>380</v>
      </c>
      <c r="J76" t="s">
        <v>639</v>
      </c>
      <c r="K76" t="s">
        <v>2</v>
      </c>
      <c r="L76" t="s">
        <v>565</v>
      </c>
      <c r="N76" t="s">
        <v>380</v>
      </c>
      <c r="O76" t="s">
        <v>688</v>
      </c>
      <c r="P76" t="s">
        <v>415</v>
      </c>
    </row>
    <row r="77" spans="9:16">
      <c r="I77" t="s">
        <v>380</v>
      </c>
      <c r="J77" t="s">
        <v>640</v>
      </c>
      <c r="K77" t="s">
        <v>2</v>
      </c>
      <c r="L77" t="s">
        <v>565</v>
      </c>
      <c r="N77" t="s">
        <v>380</v>
      </c>
      <c r="O77" t="s">
        <v>689</v>
      </c>
      <c r="P77" t="s">
        <v>415</v>
      </c>
    </row>
    <row r="78" spans="9:16">
      <c r="I78" t="s">
        <v>380</v>
      </c>
      <c r="J78" t="s">
        <v>641</v>
      </c>
      <c r="K78" t="s">
        <v>2</v>
      </c>
      <c r="L78" t="s">
        <v>565</v>
      </c>
      <c r="N78" t="s">
        <v>380</v>
      </c>
      <c r="O78" t="s">
        <v>690</v>
      </c>
      <c r="P78" t="s">
        <v>415</v>
      </c>
    </row>
    <row r="79" spans="9:16">
      <c r="I79" t="s">
        <v>380</v>
      </c>
      <c r="J79" t="s">
        <v>642</v>
      </c>
      <c r="K79" t="s">
        <v>2</v>
      </c>
      <c r="L79" t="s">
        <v>565</v>
      </c>
      <c r="N79" t="s">
        <v>380</v>
      </c>
      <c r="O79" t="s">
        <v>691</v>
      </c>
      <c r="P79" t="s">
        <v>415</v>
      </c>
    </row>
    <row r="80" spans="9:16">
      <c r="I80" t="s">
        <v>380</v>
      </c>
      <c r="J80" t="s">
        <v>643</v>
      </c>
      <c r="K80" t="s">
        <v>2</v>
      </c>
      <c r="L80" t="s">
        <v>565</v>
      </c>
      <c r="N80" t="s">
        <v>380</v>
      </c>
      <c r="O80" t="s">
        <v>692</v>
      </c>
      <c r="P80" t="s">
        <v>415</v>
      </c>
    </row>
    <row r="81" spans="9:16">
      <c r="I81" t="s">
        <v>380</v>
      </c>
      <c r="J81" t="s">
        <v>644</v>
      </c>
      <c r="K81" t="s">
        <v>2</v>
      </c>
      <c r="L81" t="s">
        <v>565</v>
      </c>
      <c r="N81" t="s">
        <v>380</v>
      </c>
      <c r="O81" t="s">
        <v>693</v>
      </c>
      <c r="P81" t="s">
        <v>415</v>
      </c>
    </row>
    <row r="82" spans="9:16">
      <c r="I82" t="s">
        <v>380</v>
      </c>
      <c r="J82" t="s">
        <v>645</v>
      </c>
      <c r="K82" t="s">
        <v>2</v>
      </c>
      <c r="L82" t="s">
        <v>565</v>
      </c>
      <c r="N82" t="s">
        <v>380</v>
      </c>
      <c r="O82" t="s">
        <v>694</v>
      </c>
      <c r="P82" t="s">
        <v>415</v>
      </c>
    </row>
    <row r="83" spans="9:16">
      <c r="I83" t="s">
        <v>380</v>
      </c>
      <c r="J83" t="s">
        <v>646</v>
      </c>
      <c r="K83" t="s">
        <v>2</v>
      </c>
      <c r="L83" t="s">
        <v>565</v>
      </c>
      <c r="N83" t="s">
        <v>380</v>
      </c>
      <c r="O83" t="s">
        <v>695</v>
      </c>
      <c r="P83" t="s">
        <v>415</v>
      </c>
    </row>
    <row r="84" spans="9:16">
      <c r="I84" t="s">
        <v>380</v>
      </c>
      <c r="J84" t="s">
        <v>647</v>
      </c>
      <c r="K84" t="s">
        <v>2</v>
      </c>
      <c r="L84" t="s">
        <v>565</v>
      </c>
      <c r="N84" t="s">
        <v>380</v>
      </c>
      <c r="O84" t="s">
        <v>696</v>
      </c>
      <c r="P84" t="s">
        <v>415</v>
      </c>
    </row>
    <row r="85" spans="9:16">
      <c r="I85" t="s">
        <v>380</v>
      </c>
      <c r="J85" t="s">
        <v>648</v>
      </c>
      <c r="K85" t="s">
        <v>2</v>
      </c>
      <c r="L85" t="s">
        <v>565</v>
      </c>
      <c r="N85" t="s">
        <v>380</v>
      </c>
      <c r="O85" t="s">
        <v>697</v>
      </c>
      <c r="P85" t="s">
        <v>415</v>
      </c>
    </row>
    <row r="86" spans="9:16">
      <c r="I86" t="s">
        <v>380</v>
      </c>
      <c r="J86" t="s">
        <v>649</v>
      </c>
      <c r="K86" t="s">
        <v>2</v>
      </c>
      <c r="L86" t="s">
        <v>565</v>
      </c>
      <c r="N86" t="s">
        <v>380</v>
      </c>
      <c r="O86" t="s">
        <v>698</v>
      </c>
      <c r="P86" t="s">
        <v>415</v>
      </c>
    </row>
    <row r="87" spans="9:16">
      <c r="I87" t="s">
        <v>380</v>
      </c>
      <c r="J87" t="s">
        <v>650</v>
      </c>
      <c r="K87" t="s">
        <v>2</v>
      </c>
      <c r="L87" t="s">
        <v>565</v>
      </c>
      <c r="N87" t="s">
        <v>380</v>
      </c>
      <c r="O87" t="s">
        <v>699</v>
      </c>
      <c r="P87" t="s">
        <v>415</v>
      </c>
    </row>
    <row r="88" spans="9:16">
      <c r="I88" t="s">
        <v>380</v>
      </c>
      <c r="J88" t="s">
        <v>651</v>
      </c>
      <c r="K88" t="s">
        <v>2</v>
      </c>
      <c r="L88" t="s">
        <v>565</v>
      </c>
      <c r="N88" t="s">
        <v>380</v>
      </c>
      <c r="O88" t="s">
        <v>700</v>
      </c>
      <c r="P88" t="s">
        <v>415</v>
      </c>
    </row>
    <row r="89" spans="9:16">
      <c r="I89" t="s">
        <v>380</v>
      </c>
      <c r="J89" t="s">
        <v>652</v>
      </c>
      <c r="K89" t="s">
        <v>2</v>
      </c>
      <c r="L89" t="s">
        <v>565</v>
      </c>
      <c r="N89" t="s">
        <v>380</v>
      </c>
      <c r="O89" t="s">
        <v>701</v>
      </c>
      <c r="P89" t="s">
        <v>415</v>
      </c>
    </row>
    <row r="90" spans="9:16">
      <c r="I90" t="s">
        <v>380</v>
      </c>
      <c r="J90" t="s">
        <v>653</v>
      </c>
      <c r="K90" t="s">
        <v>2</v>
      </c>
      <c r="L90" t="s">
        <v>565</v>
      </c>
      <c r="N90" t="s">
        <v>380</v>
      </c>
      <c r="O90" t="s">
        <v>702</v>
      </c>
      <c r="P90" t="s">
        <v>415</v>
      </c>
    </row>
    <row r="91" spans="9:16">
      <c r="I91" t="s">
        <v>380</v>
      </c>
      <c r="J91" t="s">
        <v>654</v>
      </c>
      <c r="K91" t="s">
        <v>2</v>
      </c>
      <c r="L91" t="s">
        <v>565</v>
      </c>
      <c r="N91" t="s">
        <v>380</v>
      </c>
      <c r="O91" t="s">
        <v>703</v>
      </c>
      <c r="P91" t="s">
        <v>415</v>
      </c>
    </row>
    <row r="92" spans="9:16">
      <c r="I92" t="s">
        <v>380</v>
      </c>
      <c r="J92" t="s">
        <v>655</v>
      </c>
      <c r="K92" t="s">
        <v>2</v>
      </c>
      <c r="L92" t="s">
        <v>565</v>
      </c>
      <c r="N92" t="s">
        <v>380</v>
      </c>
      <c r="O92" t="s">
        <v>704</v>
      </c>
      <c r="P92" t="s">
        <v>415</v>
      </c>
    </row>
    <row r="93" spans="9:16">
      <c r="I93" t="s">
        <v>380</v>
      </c>
      <c r="J93" t="s">
        <v>656</v>
      </c>
      <c r="K93" t="s">
        <v>2</v>
      </c>
      <c r="L93" t="s">
        <v>565</v>
      </c>
      <c r="N93" t="s">
        <v>380</v>
      </c>
      <c r="O93" t="s">
        <v>705</v>
      </c>
      <c r="P93" t="s">
        <v>415</v>
      </c>
    </row>
    <row r="94" spans="9:16">
      <c r="I94" t="s">
        <v>380</v>
      </c>
      <c r="J94" t="s">
        <v>657</v>
      </c>
      <c r="K94" t="s">
        <v>2</v>
      </c>
      <c r="L94" t="s">
        <v>565</v>
      </c>
      <c r="N94" t="s">
        <v>380</v>
      </c>
      <c r="O94" t="s">
        <v>706</v>
      </c>
      <c r="P94" t="s">
        <v>415</v>
      </c>
    </row>
    <row r="95" spans="9:16">
      <c r="I95" t="s">
        <v>380</v>
      </c>
      <c r="J95" t="s">
        <v>658</v>
      </c>
      <c r="K95" t="s">
        <v>2</v>
      </c>
      <c r="L95" t="s">
        <v>565</v>
      </c>
      <c r="N95" t="s">
        <v>380</v>
      </c>
      <c r="O95" t="s">
        <v>707</v>
      </c>
      <c r="P95" t="s">
        <v>418</v>
      </c>
    </row>
    <row r="96" spans="9:16">
      <c r="I96" t="s">
        <v>380</v>
      </c>
      <c r="J96" t="s">
        <v>659</v>
      </c>
      <c r="K96" t="s">
        <v>2</v>
      </c>
      <c r="L96" t="s">
        <v>565</v>
      </c>
      <c r="N96" t="s">
        <v>380</v>
      </c>
      <c r="O96" t="s">
        <v>708</v>
      </c>
      <c r="P96" t="s">
        <v>418</v>
      </c>
    </row>
    <row r="97" spans="9:16">
      <c r="I97" t="s">
        <v>380</v>
      </c>
      <c r="J97" t="s">
        <v>660</v>
      </c>
      <c r="K97" t="s">
        <v>2</v>
      </c>
      <c r="L97" t="s">
        <v>565</v>
      </c>
      <c r="N97" t="s">
        <v>380</v>
      </c>
      <c r="O97" t="s">
        <v>709</v>
      </c>
      <c r="P97" t="s">
        <v>418</v>
      </c>
    </row>
    <row r="98" spans="9:16">
      <c r="I98" t="s">
        <v>380</v>
      </c>
      <c r="J98" t="s">
        <v>661</v>
      </c>
      <c r="K98" t="s">
        <v>2</v>
      </c>
      <c r="L98" t="s">
        <v>565</v>
      </c>
      <c r="N98" t="s">
        <v>380</v>
      </c>
      <c r="O98" t="s">
        <v>710</v>
      </c>
      <c r="P98" t="s">
        <v>418</v>
      </c>
    </row>
    <row r="99" spans="9:16">
      <c r="I99" t="s">
        <v>380</v>
      </c>
      <c r="J99" t="s">
        <v>662</v>
      </c>
      <c r="K99" t="s">
        <v>2</v>
      </c>
      <c r="L99" t="s">
        <v>565</v>
      </c>
      <c r="N99" t="s">
        <v>380</v>
      </c>
      <c r="O99" t="s">
        <v>711</v>
      </c>
      <c r="P99" t="s">
        <v>418</v>
      </c>
    </row>
    <row r="100" spans="9:16">
      <c r="I100" t="s">
        <v>380</v>
      </c>
      <c r="J100" t="s">
        <v>663</v>
      </c>
      <c r="K100" t="s">
        <v>2</v>
      </c>
      <c r="L100" t="s">
        <v>565</v>
      </c>
      <c r="N100" t="s">
        <v>380</v>
      </c>
      <c r="O100" t="s">
        <v>712</v>
      </c>
      <c r="P100" t="s">
        <v>418</v>
      </c>
    </row>
    <row r="101" spans="9:16">
      <c r="I101" t="s">
        <v>380</v>
      </c>
      <c r="J101" t="s">
        <v>664</v>
      </c>
      <c r="K101" t="s">
        <v>2</v>
      </c>
      <c r="L101" t="s">
        <v>565</v>
      </c>
      <c r="N101" t="s">
        <v>380</v>
      </c>
      <c r="O101" t="s">
        <v>713</v>
      </c>
      <c r="P101" t="s">
        <v>418</v>
      </c>
    </row>
    <row r="102" spans="9:16">
      <c r="I102" t="s">
        <v>380</v>
      </c>
      <c r="J102" t="s">
        <v>665</v>
      </c>
      <c r="K102" t="s">
        <v>2</v>
      </c>
      <c r="L102" t="s">
        <v>565</v>
      </c>
      <c r="N102" t="s">
        <v>380</v>
      </c>
      <c r="O102" t="s">
        <v>714</v>
      </c>
      <c r="P102" t="s">
        <v>418</v>
      </c>
    </row>
    <row r="103" spans="9:16">
      <c r="I103" t="s">
        <v>380</v>
      </c>
      <c r="J103" t="s">
        <v>666</v>
      </c>
      <c r="K103" t="s">
        <v>2</v>
      </c>
      <c r="L103" t="s">
        <v>565</v>
      </c>
      <c r="N103" t="s">
        <v>380</v>
      </c>
      <c r="O103" t="s">
        <v>715</v>
      </c>
      <c r="P103" t="s">
        <v>418</v>
      </c>
    </row>
    <row r="104" spans="9:16">
      <c r="I104" t="s">
        <v>380</v>
      </c>
      <c r="J104" t="s">
        <v>667</v>
      </c>
      <c r="K104" t="s">
        <v>2</v>
      </c>
      <c r="L104" t="s">
        <v>565</v>
      </c>
      <c r="N104" t="s">
        <v>380</v>
      </c>
      <c r="O104" t="s">
        <v>716</v>
      </c>
      <c r="P104" t="s">
        <v>418</v>
      </c>
    </row>
    <row r="105" spans="9:16">
      <c r="I105" t="s">
        <v>380</v>
      </c>
      <c r="J105" t="s">
        <v>668</v>
      </c>
      <c r="K105" t="s">
        <v>2</v>
      </c>
      <c r="L105" t="s">
        <v>565</v>
      </c>
      <c r="N105" t="s">
        <v>380</v>
      </c>
      <c r="O105" t="s">
        <v>717</v>
      </c>
      <c r="P105" t="s">
        <v>418</v>
      </c>
    </row>
    <row r="106" spans="9:16">
      <c r="I106" t="s">
        <v>380</v>
      </c>
      <c r="J106" t="s">
        <v>669</v>
      </c>
      <c r="K106" t="s">
        <v>2</v>
      </c>
      <c r="L106" t="s">
        <v>565</v>
      </c>
      <c r="N106" t="s">
        <v>380</v>
      </c>
      <c r="O106" t="s">
        <v>718</v>
      </c>
      <c r="P106" t="s">
        <v>418</v>
      </c>
    </row>
    <row r="107" spans="9:16">
      <c r="I107" t="s">
        <v>380</v>
      </c>
      <c r="J107" t="s">
        <v>670</v>
      </c>
      <c r="K107" t="s">
        <v>2</v>
      </c>
      <c r="L107" t="s">
        <v>565</v>
      </c>
      <c r="N107" t="s">
        <v>380</v>
      </c>
      <c r="O107" t="s">
        <v>719</v>
      </c>
      <c r="P107" t="s">
        <v>418</v>
      </c>
    </row>
    <row r="108" spans="9:16">
      <c r="I108" t="s">
        <v>380</v>
      </c>
      <c r="J108" t="s">
        <v>671</v>
      </c>
      <c r="K108" t="s">
        <v>2</v>
      </c>
      <c r="L108" t="s">
        <v>565</v>
      </c>
      <c r="N108" t="s">
        <v>380</v>
      </c>
      <c r="O108" t="s">
        <v>720</v>
      </c>
      <c r="P108" t="s">
        <v>418</v>
      </c>
    </row>
    <row r="109" spans="9:16">
      <c r="I109" t="s">
        <v>380</v>
      </c>
      <c r="J109" t="s">
        <v>672</v>
      </c>
      <c r="K109" t="s">
        <v>2</v>
      </c>
      <c r="L109" t="s">
        <v>565</v>
      </c>
      <c r="N109" t="s">
        <v>380</v>
      </c>
      <c r="O109" t="s">
        <v>721</v>
      </c>
      <c r="P109" t="s">
        <v>418</v>
      </c>
    </row>
    <row r="110" spans="9:16">
      <c r="I110" t="s">
        <v>380</v>
      </c>
      <c r="J110" t="s">
        <v>673</v>
      </c>
      <c r="K110" t="s">
        <v>2</v>
      </c>
      <c r="L110" t="s">
        <v>565</v>
      </c>
      <c r="N110" t="s">
        <v>380</v>
      </c>
      <c r="O110" t="s">
        <v>722</v>
      </c>
      <c r="P110" t="s">
        <v>418</v>
      </c>
    </row>
    <row r="111" spans="9:16">
      <c r="I111" t="s">
        <v>380</v>
      </c>
      <c r="J111" t="s">
        <v>674</v>
      </c>
      <c r="K111" t="s">
        <v>2</v>
      </c>
      <c r="L111" t="s">
        <v>565</v>
      </c>
      <c r="N111" t="s">
        <v>380</v>
      </c>
      <c r="O111" t="s">
        <v>723</v>
      </c>
      <c r="P111" t="s">
        <v>418</v>
      </c>
    </row>
    <row r="112" spans="9:16">
      <c r="I112" t="s">
        <v>380</v>
      </c>
      <c r="J112" t="s">
        <v>675</v>
      </c>
      <c r="K112" t="s">
        <v>2</v>
      </c>
      <c r="L112" t="s">
        <v>565</v>
      </c>
      <c r="N112" t="s">
        <v>380</v>
      </c>
      <c r="O112" t="s">
        <v>724</v>
      </c>
      <c r="P112" t="s">
        <v>418</v>
      </c>
    </row>
    <row r="113" spans="9:16">
      <c r="I113" t="s">
        <v>380</v>
      </c>
      <c r="J113" t="s">
        <v>676</v>
      </c>
      <c r="K113" t="s">
        <v>2</v>
      </c>
      <c r="L113" t="s">
        <v>565</v>
      </c>
      <c r="N113" t="s">
        <v>380</v>
      </c>
      <c r="O113" t="s">
        <v>725</v>
      </c>
      <c r="P113" t="s">
        <v>418</v>
      </c>
    </row>
    <row r="114" spans="9:16">
      <c r="I114" t="s">
        <v>380</v>
      </c>
      <c r="J114" t="s">
        <v>677</v>
      </c>
      <c r="K114" t="s">
        <v>2</v>
      </c>
      <c r="L114" t="s">
        <v>565</v>
      </c>
      <c r="N114" t="s">
        <v>380</v>
      </c>
      <c r="O114" t="s">
        <v>726</v>
      </c>
      <c r="P114" t="s">
        <v>418</v>
      </c>
    </row>
    <row r="115" spans="9:16">
      <c r="I115" t="s">
        <v>380</v>
      </c>
      <c r="J115" t="s">
        <v>678</v>
      </c>
      <c r="K115" t="s">
        <v>2</v>
      </c>
      <c r="L115" t="s">
        <v>565</v>
      </c>
      <c r="N115" t="s">
        <v>380</v>
      </c>
      <c r="O115" t="s">
        <v>727</v>
      </c>
      <c r="P115" t="s">
        <v>418</v>
      </c>
    </row>
    <row r="116" spans="9:16">
      <c r="I116" t="s">
        <v>380</v>
      </c>
      <c r="J116" t="s">
        <v>679</v>
      </c>
      <c r="K116" t="s">
        <v>2</v>
      </c>
      <c r="L116" t="s">
        <v>565</v>
      </c>
      <c r="N116" t="s">
        <v>380</v>
      </c>
      <c r="O116" t="s">
        <v>728</v>
      </c>
      <c r="P116" t="s">
        <v>418</v>
      </c>
    </row>
    <row r="117" spans="9:16">
      <c r="I117" t="s">
        <v>380</v>
      </c>
      <c r="J117" t="s">
        <v>680</v>
      </c>
      <c r="K117" t="s">
        <v>2</v>
      </c>
      <c r="L117" t="s">
        <v>565</v>
      </c>
      <c r="N117" t="s">
        <v>380</v>
      </c>
      <c r="O117" t="s">
        <v>730</v>
      </c>
      <c r="P117" t="s">
        <v>418</v>
      </c>
    </row>
    <row r="118" spans="9:16">
      <c r="I118" t="s">
        <v>380</v>
      </c>
      <c r="J118" t="s">
        <v>681</v>
      </c>
      <c r="K118" t="s">
        <v>2</v>
      </c>
      <c r="L118" t="s">
        <v>565</v>
      </c>
      <c r="N118" t="s">
        <v>380</v>
      </c>
      <c r="O118" t="s">
        <v>729</v>
      </c>
      <c r="P118" t="s">
        <v>418</v>
      </c>
    </row>
    <row r="119" spans="9:16">
      <c r="I119" t="s">
        <v>380</v>
      </c>
      <c r="J119" t="s">
        <v>682</v>
      </c>
      <c r="K119" t="s">
        <v>2</v>
      </c>
      <c r="L119" t="s">
        <v>565</v>
      </c>
      <c r="N119" t="s">
        <v>380</v>
      </c>
      <c r="O119" t="s">
        <v>731</v>
      </c>
      <c r="P119" t="s">
        <v>418</v>
      </c>
    </row>
    <row r="120" spans="9:16">
      <c r="I120" t="s">
        <v>380</v>
      </c>
      <c r="J120" t="s">
        <v>683</v>
      </c>
      <c r="K120" t="s">
        <v>2</v>
      </c>
      <c r="L120" t="s">
        <v>565</v>
      </c>
      <c r="N120" t="s">
        <v>380</v>
      </c>
      <c r="O120" t="s">
        <v>732</v>
      </c>
      <c r="P120" t="s">
        <v>418</v>
      </c>
    </row>
    <row r="121" spans="9:16">
      <c r="I121" t="s">
        <v>380</v>
      </c>
      <c r="J121" t="s">
        <v>684</v>
      </c>
      <c r="K121" t="s">
        <v>2</v>
      </c>
      <c r="L121" t="s">
        <v>565</v>
      </c>
      <c r="N121" t="s">
        <v>380</v>
      </c>
      <c r="O121" t="s">
        <v>733</v>
      </c>
      <c r="P121" t="s">
        <v>418</v>
      </c>
    </row>
    <row r="122" spans="9:16">
      <c r="I122" t="s">
        <v>380</v>
      </c>
      <c r="J122" t="s">
        <v>685</v>
      </c>
      <c r="K122" t="s">
        <v>2</v>
      </c>
      <c r="L122" t="s">
        <v>565</v>
      </c>
      <c r="N122" t="s">
        <v>380</v>
      </c>
      <c r="O122" t="s">
        <v>734</v>
      </c>
      <c r="P122" t="s">
        <v>418</v>
      </c>
    </row>
    <row r="123" spans="9:16">
      <c r="I123" t="s">
        <v>380</v>
      </c>
      <c r="J123" t="s">
        <v>686</v>
      </c>
      <c r="K123" t="s">
        <v>2</v>
      </c>
      <c r="L123" t="s">
        <v>565</v>
      </c>
      <c r="N123" t="s">
        <v>380</v>
      </c>
      <c r="O123" t="s">
        <v>735</v>
      </c>
      <c r="P123" t="s">
        <v>418</v>
      </c>
    </row>
    <row r="124" spans="9:16">
      <c r="I124" t="s">
        <v>380</v>
      </c>
      <c r="J124" t="s">
        <v>687</v>
      </c>
      <c r="K124" t="s">
        <v>2</v>
      </c>
      <c r="L124" t="s">
        <v>565</v>
      </c>
      <c r="N124" t="s">
        <v>380</v>
      </c>
      <c r="O124" t="s">
        <v>736</v>
      </c>
      <c r="P124" t="s">
        <v>418</v>
      </c>
    </row>
    <row r="125" spans="9:16">
      <c r="I125" t="s">
        <v>380</v>
      </c>
      <c r="J125" t="s">
        <v>688</v>
      </c>
      <c r="K125" t="s">
        <v>2</v>
      </c>
      <c r="L125" t="s">
        <v>565</v>
      </c>
      <c r="N125" t="s">
        <v>380</v>
      </c>
      <c r="O125" t="s">
        <v>737</v>
      </c>
      <c r="P125" t="s">
        <v>418</v>
      </c>
    </row>
    <row r="126" spans="9:16">
      <c r="I126" t="s">
        <v>380</v>
      </c>
      <c r="J126" t="s">
        <v>689</v>
      </c>
      <c r="K126" t="s">
        <v>2</v>
      </c>
      <c r="L126" t="s">
        <v>565</v>
      </c>
      <c r="N126" t="s">
        <v>380</v>
      </c>
      <c r="O126" t="s">
        <v>738</v>
      </c>
      <c r="P126" t="s">
        <v>418</v>
      </c>
    </row>
    <row r="127" spans="9:16">
      <c r="I127" t="s">
        <v>380</v>
      </c>
      <c r="J127" t="s">
        <v>690</v>
      </c>
      <c r="K127" t="s">
        <v>2</v>
      </c>
      <c r="L127" t="s">
        <v>565</v>
      </c>
      <c r="N127" t="s">
        <v>380</v>
      </c>
      <c r="O127" t="s">
        <v>739</v>
      </c>
      <c r="P127" t="s">
        <v>418</v>
      </c>
    </row>
    <row r="128" spans="9:16">
      <c r="I128" t="s">
        <v>380</v>
      </c>
      <c r="J128" t="s">
        <v>691</v>
      </c>
      <c r="K128" t="s">
        <v>2</v>
      </c>
      <c r="L128" t="s">
        <v>565</v>
      </c>
      <c r="N128" t="s">
        <v>380</v>
      </c>
      <c r="O128" t="s">
        <v>740</v>
      </c>
      <c r="P128" t="s">
        <v>418</v>
      </c>
    </row>
    <row r="129" spans="9:16">
      <c r="I129" t="s">
        <v>380</v>
      </c>
      <c r="J129" t="s">
        <v>692</v>
      </c>
      <c r="K129" t="s">
        <v>2</v>
      </c>
      <c r="L129" t="s">
        <v>565</v>
      </c>
      <c r="N129" t="s">
        <v>380</v>
      </c>
      <c r="O129" t="s">
        <v>741</v>
      </c>
      <c r="P129" t="s">
        <v>418</v>
      </c>
    </row>
    <row r="130" spans="9:16">
      <c r="I130" t="s">
        <v>380</v>
      </c>
      <c r="J130" t="s">
        <v>693</v>
      </c>
      <c r="K130" t="s">
        <v>2</v>
      </c>
      <c r="L130" t="s">
        <v>565</v>
      </c>
      <c r="N130" t="s">
        <v>380</v>
      </c>
      <c r="O130" t="s">
        <v>742</v>
      </c>
      <c r="P130" t="s">
        <v>418</v>
      </c>
    </row>
    <row r="131" spans="9:16">
      <c r="I131" t="s">
        <v>380</v>
      </c>
      <c r="J131" t="s">
        <v>694</v>
      </c>
      <c r="K131" t="s">
        <v>2</v>
      </c>
      <c r="L131" t="s">
        <v>565</v>
      </c>
      <c r="N131" t="s">
        <v>380</v>
      </c>
      <c r="O131" t="s">
        <v>743</v>
      </c>
      <c r="P131" t="s">
        <v>418</v>
      </c>
    </row>
    <row r="132" spans="9:16">
      <c r="I132" t="s">
        <v>380</v>
      </c>
      <c r="J132" t="s">
        <v>695</v>
      </c>
      <c r="K132" t="s">
        <v>2</v>
      </c>
      <c r="L132" t="s">
        <v>565</v>
      </c>
      <c r="N132" t="s">
        <v>380</v>
      </c>
      <c r="O132" t="s">
        <v>744</v>
      </c>
      <c r="P132" t="s">
        <v>418</v>
      </c>
    </row>
    <row r="133" spans="9:16">
      <c r="I133" t="s">
        <v>380</v>
      </c>
      <c r="J133" t="s">
        <v>696</v>
      </c>
      <c r="K133" t="s">
        <v>2</v>
      </c>
      <c r="L133" t="s">
        <v>565</v>
      </c>
      <c r="N133" t="s">
        <v>380</v>
      </c>
      <c r="O133" t="s">
        <v>745</v>
      </c>
      <c r="P133" t="s">
        <v>418</v>
      </c>
    </row>
    <row r="134" spans="9:16">
      <c r="I134" t="s">
        <v>380</v>
      </c>
      <c r="J134" t="s">
        <v>697</v>
      </c>
      <c r="K134" t="s">
        <v>2</v>
      </c>
      <c r="L134" t="s">
        <v>565</v>
      </c>
      <c r="N134" t="s">
        <v>380</v>
      </c>
      <c r="O134" t="s">
        <v>746</v>
      </c>
      <c r="P134" t="s">
        <v>418</v>
      </c>
    </row>
    <row r="135" spans="9:16">
      <c r="I135" t="s">
        <v>380</v>
      </c>
      <c r="J135" t="s">
        <v>698</v>
      </c>
      <c r="K135" t="s">
        <v>2</v>
      </c>
      <c r="L135" t="s">
        <v>565</v>
      </c>
      <c r="N135" t="s">
        <v>380</v>
      </c>
      <c r="O135" t="s">
        <v>747</v>
      </c>
      <c r="P135" t="s">
        <v>418</v>
      </c>
    </row>
    <row r="136" spans="9:16">
      <c r="I136" t="s">
        <v>380</v>
      </c>
      <c r="J136" t="s">
        <v>699</v>
      </c>
      <c r="K136" t="s">
        <v>2</v>
      </c>
      <c r="L136" t="s">
        <v>565</v>
      </c>
      <c r="N136" t="s">
        <v>380</v>
      </c>
      <c r="O136" t="s">
        <v>748</v>
      </c>
      <c r="P136" t="s">
        <v>418</v>
      </c>
    </row>
    <row r="137" spans="9:16">
      <c r="I137" t="s">
        <v>380</v>
      </c>
      <c r="J137" t="s">
        <v>700</v>
      </c>
      <c r="K137" t="s">
        <v>2</v>
      </c>
      <c r="L137" t="s">
        <v>565</v>
      </c>
      <c r="N137" t="s">
        <v>380</v>
      </c>
      <c r="O137" t="s">
        <v>749</v>
      </c>
      <c r="P137" t="s">
        <v>418</v>
      </c>
    </row>
    <row r="138" spans="9:16">
      <c r="I138" t="s">
        <v>380</v>
      </c>
      <c r="J138" t="s">
        <v>701</v>
      </c>
      <c r="K138" t="s">
        <v>2</v>
      </c>
      <c r="L138" t="s">
        <v>565</v>
      </c>
      <c r="N138" t="s">
        <v>380</v>
      </c>
      <c r="O138" t="s">
        <v>750</v>
      </c>
      <c r="P138" t="s">
        <v>418</v>
      </c>
    </row>
    <row r="139" spans="9:16">
      <c r="I139" t="s">
        <v>380</v>
      </c>
      <c r="J139" t="s">
        <v>702</v>
      </c>
      <c r="K139" t="s">
        <v>2</v>
      </c>
      <c r="L139" t="s">
        <v>565</v>
      </c>
      <c r="N139" t="s">
        <v>380</v>
      </c>
      <c r="O139" t="s">
        <v>751</v>
      </c>
      <c r="P139" t="s">
        <v>418</v>
      </c>
    </row>
    <row r="140" spans="9:16">
      <c r="I140" t="s">
        <v>380</v>
      </c>
      <c r="J140" t="s">
        <v>703</v>
      </c>
      <c r="K140" t="s">
        <v>2</v>
      </c>
      <c r="L140" t="s">
        <v>565</v>
      </c>
      <c r="N140" t="s">
        <v>380</v>
      </c>
      <c r="O140" t="s">
        <v>752</v>
      </c>
      <c r="P140" t="s">
        <v>418</v>
      </c>
    </row>
    <row r="141" spans="9:16">
      <c r="I141" t="s">
        <v>380</v>
      </c>
      <c r="J141" t="s">
        <v>704</v>
      </c>
      <c r="K141" t="s">
        <v>2</v>
      </c>
      <c r="L141" t="s">
        <v>565</v>
      </c>
      <c r="N141" t="s">
        <v>380</v>
      </c>
      <c r="O141" t="s">
        <v>753</v>
      </c>
      <c r="P141" t="s">
        <v>418</v>
      </c>
    </row>
    <row r="142" spans="9:16">
      <c r="I142" t="s">
        <v>380</v>
      </c>
      <c r="J142" t="s">
        <v>705</v>
      </c>
      <c r="K142" t="s">
        <v>2</v>
      </c>
      <c r="L142" t="s">
        <v>565</v>
      </c>
      <c r="N142" t="s">
        <v>380</v>
      </c>
      <c r="O142" t="s">
        <v>754</v>
      </c>
      <c r="P142" t="s">
        <v>418</v>
      </c>
    </row>
    <row r="143" spans="9:16">
      <c r="I143" t="s">
        <v>380</v>
      </c>
      <c r="J143" t="s">
        <v>706</v>
      </c>
      <c r="K143" t="s">
        <v>2</v>
      </c>
      <c r="L143" t="s">
        <v>565</v>
      </c>
      <c r="N143" t="s">
        <v>380</v>
      </c>
      <c r="O143" t="s">
        <v>755</v>
      </c>
      <c r="P143" t="s">
        <v>418</v>
      </c>
    </row>
    <row r="144" spans="9:16">
      <c r="I144" t="s">
        <v>380</v>
      </c>
      <c r="J144" t="s">
        <v>707</v>
      </c>
      <c r="K144" t="s">
        <v>9</v>
      </c>
      <c r="L144" t="s">
        <v>565</v>
      </c>
      <c r="N144" t="s">
        <v>380</v>
      </c>
      <c r="O144" t="s">
        <v>756</v>
      </c>
      <c r="P144" t="s">
        <v>418</v>
      </c>
    </row>
    <row r="145" spans="9:16">
      <c r="I145" t="s">
        <v>380</v>
      </c>
      <c r="J145" t="s">
        <v>708</v>
      </c>
      <c r="K145" t="s">
        <v>9</v>
      </c>
      <c r="L145" t="s">
        <v>565</v>
      </c>
      <c r="N145" t="s">
        <v>380</v>
      </c>
      <c r="O145" t="s">
        <v>757</v>
      </c>
      <c r="P145" t="s">
        <v>418</v>
      </c>
    </row>
    <row r="146" spans="9:16">
      <c r="I146" t="s">
        <v>380</v>
      </c>
      <c r="J146" t="s">
        <v>709</v>
      </c>
      <c r="K146" t="s">
        <v>9</v>
      </c>
      <c r="L146" t="s">
        <v>565</v>
      </c>
      <c r="N146" t="s">
        <v>380</v>
      </c>
      <c r="O146" t="s">
        <v>758</v>
      </c>
      <c r="P146" t="s">
        <v>418</v>
      </c>
    </row>
    <row r="147" spans="9:16">
      <c r="I147" t="s">
        <v>380</v>
      </c>
      <c r="J147" t="s">
        <v>710</v>
      </c>
      <c r="K147" t="s">
        <v>9</v>
      </c>
      <c r="L147" t="s">
        <v>565</v>
      </c>
      <c r="N147" t="s">
        <v>380</v>
      </c>
      <c r="O147" t="s">
        <v>759</v>
      </c>
      <c r="P147" t="s">
        <v>418</v>
      </c>
    </row>
    <row r="148" spans="9:16">
      <c r="I148" t="s">
        <v>380</v>
      </c>
      <c r="J148" t="s">
        <v>711</v>
      </c>
      <c r="K148" t="s">
        <v>9</v>
      </c>
      <c r="L148" t="s">
        <v>565</v>
      </c>
      <c r="N148" t="s">
        <v>380</v>
      </c>
      <c r="O148" t="s">
        <v>760</v>
      </c>
      <c r="P148" t="s">
        <v>418</v>
      </c>
    </row>
    <row r="149" spans="9:16">
      <c r="I149" t="s">
        <v>380</v>
      </c>
      <c r="J149" t="s">
        <v>712</v>
      </c>
      <c r="K149" t="s">
        <v>9</v>
      </c>
      <c r="L149" t="s">
        <v>565</v>
      </c>
      <c r="N149" t="s">
        <v>380</v>
      </c>
      <c r="O149" t="s">
        <v>761</v>
      </c>
      <c r="P149" t="s">
        <v>418</v>
      </c>
    </row>
    <row r="150" spans="9:16">
      <c r="I150" t="s">
        <v>380</v>
      </c>
      <c r="J150" t="s">
        <v>713</v>
      </c>
      <c r="K150" t="s">
        <v>9</v>
      </c>
      <c r="L150" t="s">
        <v>565</v>
      </c>
      <c r="N150" t="s">
        <v>380</v>
      </c>
      <c r="O150" t="s">
        <v>762</v>
      </c>
      <c r="P150" t="s">
        <v>418</v>
      </c>
    </row>
    <row r="151" spans="9:16">
      <c r="I151" t="s">
        <v>380</v>
      </c>
      <c r="J151" t="s">
        <v>714</v>
      </c>
      <c r="K151" t="s">
        <v>9</v>
      </c>
      <c r="L151" t="s">
        <v>565</v>
      </c>
      <c r="N151" t="s">
        <v>380</v>
      </c>
      <c r="O151" t="s">
        <v>763</v>
      </c>
      <c r="P151" t="s">
        <v>418</v>
      </c>
    </row>
    <row r="152" spans="9:16">
      <c r="I152" t="s">
        <v>380</v>
      </c>
      <c r="J152" t="s">
        <v>715</v>
      </c>
      <c r="K152" t="s">
        <v>9</v>
      </c>
      <c r="L152" t="s">
        <v>565</v>
      </c>
      <c r="N152" t="s">
        <v>380</v>
      </c>
      <c r="O152" t="s">
        <v>764</v>
      </c>
      <c r="P152" t="s">
        <v>418</v>
      </c>
    </row>
    <row r="153" spans="9:16">
      <c r="I153" t="s">
        <v>380</v>
      </c>
      <c r="J153" t="s">
        <v>716</v>
      </c>
      <c r="K153" t="s">
        <v>9</v>
      </c>
      <c r="L153" t="s">
        <v>565</v>
      </c>
      <c r="N153" t="s">
        <v>380</v>
      </c>
      <c r="O153" t="s">
        <v>765</v>
      </c>
      <c r="P153" t="s">
        <v>418</v>
      </c>
    </row>
    <row r="154" spans="9:16">
      <c r="I154" t="s">
        <v>380</v>
      </c>
      <c r="J154" t="s">
        <v>717</v>
      </c>
      <c r="K154" t="s">
        <v>9</v>
      </c>
      <c r="L154" t="s">
        <v>565</v>
      </c>
      <c r="N154" t="s">
        <v>380</v>
      </c>
      <c r="O154" t="s">
        <v>766</v>
      </c>
      <c r="P154" t="s">
        <v>418</v>
      </c>
    </row>
    <row r="155" spans="9:16">
      <c r="I155" t="s">
        <v>380</v>
      </c>
      <c r="J155" t="s">
        <v>718</v>
      </c>
      <c r="K155" t="s">
        <v>9</v>
      </c>
      <c r="L155" t="s">
        <v>565</v>
      </c>
      <c r="N155" t="s">
        <v>380</v>
      </c>
      <c r="O155" t="s">
        <v>767</v>
      </c>
      <c r="P155" t="s">
        <v>418</v>
      </c>
    </row>
    <row r="156" spans="9:16">
      <c r="I156" t="s">
        <v>380</v>
      </c>
      <c r="J156" t="s">
        <v>719</v>
      </c>
      <c r="K156" t="s">
        <v>9</v>
      </c>
      <c r="L156" t="s">
        <v>565</v>
      </c>
      <c r="N156" t="s">
        <v>380</v>
      </c>
      <c r="O156" t="s">
        <v>768</v>
      </c>
      <c r="P156" t="s">
        <v>418</v>
      </c>
    </row>
    <row r="157" spans="9:16">
      <c r="I157" t="s">
        <v>380</v>
      </c>
      <c r="J157" t="s">
        <v>720</v>
      </c>
      <c r="K157" t="s">
        <v>9</v>
      </c>
      <c r="L157" t="s">
        <v>565</v>
      </c>
      <c r="N157" t="s">
        <v>380</v>
      </c>
      <c r="O157" t="s">
        <v>769</v>
      </c>
      <c r="P157" t="s">
        <v>418</v>
      </c>
    </row>
    <row r="158" spans="9:16">
      <c r="I158" t="s">
        <v>380</v>
      </c>
      <c r="J158" t="s">
        <v>721</v>
      </c>
      <c r="K158" t="s">
        <v>9</v>
      </c>
      <c r="L158" t="s">
        <v>565</v>
      </c>
      <c r="N158" t="s">
        <v>380</v>
      </c>
      <c r="O158" t="s">
        <v>770</v>
      </c>
      <c r="P158" t="s">
        <v>418</v>
      </c>
    </row>
    <row r="159" spans="9:16">
      <c r="I159" t="s">
        <v>380</v>
      </c>
      <c r="J159" t="s">
        <v>722</v>
      </c>
      <c r="K159" t="s">
        <v>9</v>
      </c>
      <c r="L159" t="s">
        <v>565</v>
      </c>
      <c r="N159" t="s">
        <v>380</v>
      </c>
      <c r="O159" t="s">
        <v>771</v>
      </c>
      <c r="P159" t="s">
        <v>418</v>
      </c>
    </row>
    <row r="160" spans="9:16">
      <c r="I160" t="s">
        <v>380</v>
      </c>
      <c r="J160" t="s">
        <v>723</v>
      </c>
      <c r="K160" t="s">
        <v>9</v>
      </c>
      <c r="L160" t="s">
        <v>565</v>
      </c>
      <c r="N160" t="s">
        <v>380</v>
      </c>
      <c r="O160" t="s">
        <v>772</v>
      </c>
      <c r="P160" t="s">
        <v>418</v>
      </c>
    </row>
    <row r="161" spans="9:16">
      <c r="I161" t="s">
        <v>380</v>
      </c>
      <c r="J161" t="s">
        <v>724</v>
      </c>
      <c r="K161" t="s">
        <v>9</v>
      </c>
      <c r="L161" t="s">
        <v>565</v>
      </c>
      <c r="N161" t="s">
        <v>380</v>
      </c>
      <c r="O161" t="s">
        <v>773</v>
      </c>
      <c r="P161" t="s">
        <v>418</v>
      </c>
    </row>
    <row r="162" spans="9:16">
      <c r="I162" t="s">
        <v>380</v>
      </c>
      <c r="J162" t="s">
        <v>725</v>
      </c>
      <c r="K162" t="s">
        <v>9</v>
      </c>
      <c r="L162" t="s">
        <v>565</v>
      </c>
      <c r="N162" t="s">
        <v>380</v>
      </c>
      <c r="O162" t="s">
        <v>774</v>
      </c>
      <c r="P162" t="s">
        <v>418</v>
      </c>
    </row>
    <row r="163" spans="9:16">
      <c r="I163" t="s">
        <v>380</v>
      </c>
      <c r="J163" t="s">
        <v>726</v>
      </c>
      <c r="K163" t="s">
        <v>9</v>
      </c>
      <c r="L163" t="s">
        <v>565</v>
      </c>
      <c r="N163" t="s">
        <v>380</v>
      </c>
      <c r="O163" t="s">
        <v>775</v>
      </c>
      <c r="P163" t="s">
        <v>418</v>
      </c>
    </row>
    <row r="164" spans="9:16">
      <c r="I164" t="s">
        <v>380</v>
      </c>
      <c r="J164" t="s">
        <v>727</v>
      </c>
      <c r="K164" t="s">
        <v>9</v>
      </c>
      <c r="L164" t="s">
        <v>565</v>
      </c>
      <c r="N164" t="s">
        <v>380</v>
      </c>
      <c r="O164" t="s">
        <v>776</v>
      </c>
      <c r="P164" t="s">
        <v>418</v>
      </c>
    </row>
    <row r="165" spans="9:16">
      <c r="I165" t="s">
        <v>380</v>
      </c>
      <c r="J165" t="s">
        <v>728</v>
      </c>
      <c r="K165" t="s">
        <v>9</v>
      </c>
      <c r="L165" t="s">
        <v>565</v>
      </c>
      <c r="N165" t="s">
        <v>380</v>
      </c>
      <c r="O165" t="s">
        <v>777</v>
      </c>
      <c r="P165" t="s">
        <v>418</v>
      </c>
    </row>
    <row r="166" spans="9:16">
      <c r="I166" t="s">
        <v>380</v>
      </c>
      <c r="J166" t="s">
        <v>729</v>
      </c>
      <c r="K166" t="s">
        <v>9</v>
      </c>
      <c r="L166" t="s">
        <v>565</v>
      </c>
      <c r="N166" t="s">
        <v>380</v>
      </c>
      <c r="O166" t="s">
        <v>778</v>
      </c>
      <c r="P166" t="s">
        <v>418</v>
      </c>
    </row>
    <row r="167" spans="9:16">
      <c r="I167" t="s">
        <v>380</v>
      </c>
      <c r="J167" t="s">
        <v>730</v>
      </c>
      <c r="K167" t="s">
        <v>9</v>
      </c>
      <c r="L167" t="s">
        <v>565</v>
      </c>
      <c r="N167" t="s">
        <v>380</v>
      </c>
      <c r="O167" t="s">
        <v>779</v>
      </c>
      <c r="P167" t="s">
        <v>418</v>
      </c>
    </row>
    <row r="168" spans="9:16">
      <c r="I168" t="s">
        <v>380</v>
      </c>
      <c r="J168" t="s">
        <v>731</v>
      </c>
      <c r="K168" t="s">
        <v>9</v>
      </c>
      <c r="L168" t="s">
        <v>565</v>
      </c>
      <c r="N168" t="s">
        <v>380</v>
      </c>
      <c r="O168" t="s">
        <v>780</v>
      </c>
      <c r="P168" t="s">
        <v>418</v>
      </c>
    </row>
    <row r="169" spans="9:16">
      <c r="I169" t="s">
        <v>380</v>
      </c>
      <c r="J169" t="s">
        <v>732</v>
      </c>
      <c r="K169" t="s">
        <v>9</v>
      </c>
      <c r="L169" t="s">
        <v>565</v>
      </c>
      <c r="N169" t="s">
        <v>380</v>
      </c>
      <c r="O169" t="s">
        <v>781</v>
      </c>
      <c r="P169" t="s">
        <v>418</v>
      </c>
    </row>
    <row r="170" spans="9:16">
      <c r="I170" t="s">
        <v>380</v>
      </c>
      <c r="J170" t="s">
        <v>733</v>
      </c>
      <c r="K170" t="s">
        <v>9</v>
      </c>
      <c r="L170" t="s">
        <v>565</v>
      </c>
      <c r="N170" t="s">
        <v>380</v>
      </c>
      <c r="O170" t="s">
        <v>782</v>
      </c>
      <c r="P170" t="s">
        <v>418</v>
      </c>
    </row>
    <row r="171" spans="9:16">
      <c r="I171" t="s">
        <v>380</v>
      </c>
      <c r="J171" t="s">
        <v>734</v>
      </c>
      <c r="K171" t="s">
        <v>9</v>
      </c>
      <c r="L171" t="s">
        <v>565</v>
      </c>
      <c r="N171" t="s">
        <v>380</v>
      </c>
      <c r="O171" t="s">
        <v>783</v>
      </c>
      <c r="P171" t="s">
        <v>418</v>
      </c>
    </row>
    <row r="172" spans="9:16">
      <c r="I172" t="s">
        <v>380</v>
      </c>
      <c r="J172" t="s">
        <v>735</v>
      </c>
      <c r="K172" t="s">
        <v>9</v>
      </c>
      <c r="L172" t="s">
        <v>565</v>
      </c>
      <c r="N172" t="s">
        <v>380</v>
      </c>
      <c r="O172" t="s">
        <v>784</v>
      </c>
      <c r="P172" t="s">
        <v>418</v>
      </c>
    </row>
    <row r="173" spans="9:16">
      <c r="I173" t="s">
        <v>380</v>
      </c>
      <c r="J173" t="s">
        <v>736</v>
      </c>
      <c r="K173" t="s">
        <v>9</v>
      </c>
      <c r="L173" t="s">
        <v>565</v>
      </c>
      <c r="N173" t="s">
        <v>380</v>
      </c>
      <c r="O173" t="s">
        <v>785</v>
      </c>
      <c r="P173" t="s">
        <v>418</v>
      </c>
    </row>
    <row r="174" spans="9:16">
      <c r="I174" t="s">
        <v>380</v>
      </c>
      <c r="J174" t="s">
        <v>737</v>
      </c>
      <c r="K174" t="s">
        <v>9</v>
      </c>
      <c r="L174" t="s">
        <v>565</v>
      </c>
      <c r="N174" t="s">
        <v>380</v>
      </c>
      <c r="O174" t="s">
        <v>786</v>
      </c>
      <c r="P174" t="s">
        <v>418</v>
      </c>
    </row>
    <row r="175" spans="9:16">
      <c r="I175" t="s">
        <v>380</v>
      </c>
      <c r="J175" t="s">
        <v>738</v>
      </c>
      <c r="K175" t="s">
        <v>9</v>
      </c>
      <c r="L175" t="s">
        <v>565</v>
      </c>
      <c r="N175" t="s">
        <v>380</v>
      </c>
      <c r="O175" t="s">
        <v>787</v>
      </c>
      <c r="P175" t="s">
        <v>418</v>
      </c>
    </row>
    <row r="176" spans="9:16">
      <c r="I176" t="s">
        <v>380</v>
      </c>
      <c r="J176" t="s">
        <v>739</v>
      </c>
      <c r="K176" t="s">
        <v>9</v>
      </c>
      <c r="L176" t="s">
        <v>565</v>
      </c>
      <c r="N176" t="s">
        <v>380</v>
      </c>
      <c r="O176" t="s">
        <v>788</v>
      </c>
      <c r="P176" t="s">
        <v>418</v>
      </c>
    </row>
    <row r="177" spans="9:16">
      <c r="I177" t="s">
        <v>380</v>
      </c>
      <c r="J177" t="s">
        <v>740</v>
      </c>
      <c r="K177" t="s">
        <v>9</v>
      </c>
      <c r="L177" t="s">
        <v>565</v>
      </c>
      <c r="N177" t="s">
        <v>380</v>
      </c>
      <c r="O177" t="s">
        <v>789</v>
      </c>
      <c r="P177" t="s">
        <v>418</v>
      </c>
    </row>
    <row r="178" spans="9:16">
      <c r="I178" t="s">
        <v>380</v>
      </c>
      <c r="J178" t="s">
        <v>741</v>
      </c>
      <c r="K178" t="s">
        <v>9</v>
      </c>
      <c r="L178" t="s">
        <v>565</v>
      </c>
      <c r="N178" t="s">
        <v>380</v>
      </c>
      <c r="O178" t="s">
        <v>790</v>
      </c>
      <c r="P178" t="s">
        <v>418</v>
      </c>
    </row>
    <row r="179" spans="9:16">
      <c r="I179" t="s">
        <v>380</v>
      </c>
      <c r="J179" t="s">
        <v>742</v>
      </c>
      <c r="K179" t="s">
        <v>9</v>
      </c>
      <c r="L179" t="s">
        <v>565</v>
      </c>
      <c r="N179" t="s">
        <v>380</v>
      </c>
      <c r="O179" t="s">
        <v>791</v>
      </c>
      <c r="P179" t="s">
        <v>418</v>
      </c>
    </row>
    <row r="180" spans="9:16">
      <c r="I180" t="s">
        <v>380</v>
      </c>
      <c r="J180" t="s">
        <v>743</v>
      </c>
      <c r="K180" t="s">
        <v>9</v>
      </c>
      <c r="L180" t="s">
        <v>565</v>
      </c>
      <c r="N180" t="s">
        <v>380</v>
      </c>
      <c r="O180" t="s">
        <v>792</v>
      </c>
      <c r="P180" t="s">
        <v>418</v>
      </c>
    </row>
    <row r="181" spans="9:16">
      <c r="I181" t="s">
        <v>380</v>
      </c>
      <c r="J181" t="s">
        <v>744</v>
      </c>
      <c r="K181" t="s">
        <v>9</v>
      </c>
      <c r="L181" t="s">
        <v>565</v>
      </c>
      <c r="N181" t="s">
        <v>380</v>
      </c>
      <c r="O181" t="s">
        <v>793</v>
      </c>
      <c r="P181" t="s">
        <v>418</v>
      </c>
    </row>
    <row r="182" spans="9:16">
      <c r="I182" t="s">
        <v>380</v>
      </c>
      <c r="J182" t="s">
        <v>745</v>
      </c>
      <c r="K182" t="s">
        <v>9</v>
      </c>
      <c r="L182" t="s">
        <v>565</v>
      </c>
      <c r="N182" t="s">
        <v>380</v>
      </c>
      <c r="O182" t="s">
        <v>794</v>
      </c>
      <c r="P182" t="s">
        <v>418</v>
      </c>
    </row>
    <row r="183" spans="9:16">
      <c r="I183" t="s">
        <v>380</v>
      </c>
      <c r="J183" t="s">
        <v>746</v>
      </c>
      <c r="K183" t="s">
        <v>9</v>
      </c>
      <c r="L183" t="s">
        <v>565</v>
      </c>
      <c r="N183" t="s">
        <v>380</v>
      </c>
      <c r="O183" t="s">
        <v>795</v>
      </c>
      <c r="P183" t="s">
        <v>418</v>
      </c>
    </row>
    <row r="184" spans="9:16">
      <c r="I184" t="s">
        <v>380</v>
      </c>
      <c r="J184" t="s">
        <v>747</v>
      </c>
      <c r="K184" t="s">
        <v>9</v>
      </c>
      <c r="L184" t="s">
        <v>565</v>
      </c>
      <c r="N184" t="s">
        <v>380</v>
      </c>
      <c r="O184" t="s">
        <v>796</v>
      </c>
      <c r="P184" t="s">
        <v>418</v>
      </c>
    </row>
    <row r="185" spans="9:16">
      <c r="I185" t="s">
        <v>380</v>
      </c>
      <c r="J185" t="s">
        <v>748</v>
      </c>
      <c r="K185" t="s">
        <v>9</v>
      </c>
      <c r="L185" t="s">
        <v>565</v>
      </c>
      <c r="N185" t="s">
        <v>380</v>
      </c>
      <c r="O185" t="s">
        <v>797</v>
      </c>
      <c r="P185" t="s">
        <v>418</v>
      </c>
    </row>
    <row r="186" spans="9:16">
      <c r="I186" t="s">
        <v>380</v>
      </c>
      <c r="J186" t="s">
        <v>749</v>
      </c>
      <c r="K186" t="s">
        <v>9</v>
      </c>
      <c r="L186" t="s">
        <v>565</v>
      </c>
      <c r="N186" t="s">
        <v>380</v>
      </c>
      <c r="O186" t="s">
        <v>798</v>
      </c>
      <c r="P186" t="s">
        <v>418</v>
      </c>
    </row>
    <row r="187" spans="9:16">
      <c r="I187" t="s">
        <v>380</v>
      </c>
      <c r="J187" t="s">
        <v>750</v>
      </c>
      <c r="K187" t="s">
        <v>9</v>
      </c>
      <c r="L187" t="s">
        <v>565</v>
      </c>
      <c r="N187" t="s">
        <v>380</v>
      </c>
      <c r="O187" t="s">
        <v>799</v>
      </c>
      <c r="P187" t="s">
        <v>418</v>
      </c>
    </row>
    <row r="188" spans="9:16">
      <c r="I188" t="s">
        <v>380</v>
      </c>
      <c r="J188" t="s">
        <v>751</v>
      </c>
      <c r="K188" t="s">
        <v>9</v>
      </c>
      <c r="L188" t="s">
        <v>565</v>
      </c>
      <c r="N188" t="s">
        <v>380</v>
      </c>
      <c r="O188" t="s">
        <v>800</v>
      </c>
      <c r="P188" t="s">
        <v>418</v>
      </c>
    </row>
    <row r="189" spans="9:16">
      <c r="I189" t="s">
        <v>380</v>
      </c>
      <c r="J189" t="s">
        <v>752</v>
      </c>
      <c r="K189" t="s">
        <v>9</v>
      </c>
      <c r="L189" t="s">
        <v>565</v>
      </c>
      <c r="N189" t="s">
        <v>380</v>
      </c>
      <c r="O189" t="s">
        <v>801</v>
      </c>
      <c r="P189" t="s">
        <v>418</v>
      </c>
    </row>
    <row r="190" spans="9:16">
      <c r="I190" t="s">
        <v>380</v>
      </c>
      <c r="J190" t="s">
        <v>753</v>
      </c>
      <c r="K190" t="s">
        <v>9</v>
      </c>
      <c r="L190" t="s">
        <v>565</v>
      </c>
    </row>
    <row r="191" spans="9:16">
      <c r="I191" t="s">
        <v>380</v>
      </c>
      <c r="J191" t="s">
        <v>754</v>
      </c>
      <c r="K191" t="s">
        <v>9</v>
      </c>
      <c r="L191" t="s">
        <v>565</v>
      </c>
    </row>
    <row r="192" spans="9:16">
      <c r="I192" t="s">
        <v>380</v>
      </c>
      <c r="J192" t="s">
        <v>755</v>
      </c>
      <c r="K192" t="s">
        <v>9</v>
      </c>
      <c r="L192" t="s">
        <v>565</v>
      </c>
    </row>
    <row r="193" spans="9:12">
      <c r="I193" t="s">
        <v>380</v>
      </c>
      <c r="J193" t="s">
        <v>756</v>
      </c>
      <c r="K193" t="s">
        <v>9</v>
      </c>
      <c r="L193" t="s">
        <v>565</v>
      </c>
    </row>
    <row r="194" spans="9:12">
      <c r="I194" t="s">
        <v>380</v>
      </c>
      <c r="J194" t="s">
        <v>757</v>
      </c>
      <c r="K194" t="s">
        <v>9</v>
      </c>
      <c r="L194" t="s">
        <v>565</v>
      </c>
    </row>
    <row r="195" spans="9:12">
      <c r="I195" t="s">
        <v>380</v>
      </c>
      <c r="J195" t="s">
        <v>758</v>
      </c>
      <c r="K195" t="s">
        <v>9</v>
      </c>
      <c r="L195" t="s">
        <v>565</v>
      </c>
    </row>
    <row r="196" spans="9:12">
      <c r="I196" t="s">
        <v>380</v>
      </c>
      <c r="J196" t="s">
        <v>759</v>
      </c>
      <c r="K196" t="s">
        <v>9</v>
      </c>
      <c r="L196" t="s">
        <v>565</v>
      </c>
    </row>
    <row r="197" spans="9:12">
      <c r="I197" t="s">
        <v>380</v>
      </c>
      <c r="J197" t="s">
        <v>760</v>
      </c>
      <c r="K197" t="s">
        <v>9</v>
      </c>
      <c r="L197" t="s">
        <v>565</v>
      </c>
    </row>
    <row r="198" spans="9:12">
      <c r="I198" t="s">
        <v>380</v>
      </c>
      <c r="J198" t="s">
        <v>761</v>
      </c>
      <c r="K198" t="s">
        <v>9</v>
      </c>
      <c r="L198" t="s">
        <v>565</v>
      </c>
    </row>
    <row r="199" spans="9:12">
      <c r="I199" t="s">
        <v>380</v>
      </c>
      <c r="J199" t="s">
        <v>762</v>
      </c>
      <c r="K199" t="s">
        <v>9</v>
      </c>
      <c r="L199" t="s">
        <v>565</v>
      </c>
    </row>
    <row r="200" spans="9:12">
      <c r="I200" t="s">
        <v>380</v>
      </c>
      <c r="J200" t="s">
        <v>763</v>
      </c>
      <c r="K200" t="s">
        <v>9</v>
      </c>
      <c r="L200" t="s">
        <v>565</v>
      </c>
    </row>
    <row r="201" spans="9:12">
      <c r="I201" t="s">
        <v>380</v>
      </c>
      <c r="J201" t="s">
        <v>764</v>
      </c>
      <c r="K201" t="s">
        <v>9</v>
      </c>
      <c r="L201" t="s">
        <v>565</v>
      </c>
    </row>
    <row r="202" spans="9:12">
      <c r="I202" t="s">
        <v>380</v>
      </c>
      <c r="J202" t="s">
        <v>765</v>
      </c>
      <c r="K202" t="s">
        <v>9</v>
      </c>
      <c r="L202" t="s">
        <v>565</v>
      </c>
    </row>
    <row r="203" spans="9:12">
      <c r="I203" t="s">
        <v>380</v>
      </c>
      <c r="J203" t="s">
        <v>766</v>
      </c>
      <c r="K203" t="s">
        <v>9</v>
      </c>
      <c r="L203" t="s">
        <v>565</v>
      </c>
    </row>
    <row r="204" spans="9:12">
      <c r="I204" t="s">
        <v>380</v>
      </c>
      <c r="J204" t="s">
        <v>767</v>
      </c>
      <c r="K204" t="s">
        <v>9</v>
      </c>
      <c r="L204" t="s">
        <v>565</v>
      </c>
    </row>
    <row r="205" spans="9:12">
      <c r="I205" t="s">
        <v>380</v>
      </c>
      <c r="J205" t="s">
        <v>768</v>
      </c>
      <c r="K205" t="s">
        <v>9</v>
      </c>
      <c r="L205" t="s">
        <v>565</v>
      </c>
    </row>
    <row r="206" spans="9:12">
      <c r="I206" t="s">
        <v>380</v>
      </c>
      <c r="J206" t="s">
        <v>769</v>
      </c>
      <c r="K206" t="s">
        <v>9</v>
      </c>
      <c r="L206" t="s">
        <v>565</v>
      </c>
    </row>
    <row r="207" spans="9:12">
      <c r="I207" t="s">
        <v>380</v>
      </c>
      <c r="J207" t="s">
        <v>770</v>
      </c>
      <c r="K207" t="s">
        <v>9</v>
      </c>
      <c r="L207" t="s">
        <v>565</v>
      </c>
    </row>
    <row r="208" spans="9:12">
      <c r="I208" t="s">
        <v>380</v>
      </c>
      <c r="J208" t="s">
        <v>771</v>
      </c>
      <c r="K208" t="s">
        <v>9</v>
      </c>
      <c r="L208" t="s">
        <v>565</v>
      </c>
    </row>
    <row r="209" spans="9:12">
      <c r="I209" t="s">
        <v>380</v>
      </c>
      <c r="J209" t="s">
        <v>772</v>
      </c>
      <c r="K209" t="s">
        <v>9</v>
      </c>
      <c r="L209" t="s">
        <v>565</v>
      </c>
    </row>
    <row r="210" spans="9:12">
      <c r="I210" t="s">
        <v>380</v>
      </c>
      <c r="J210" t="s">
        <v>773</v>
      </c>
      <c r="K210" t="s">
        <v>9</v>
      </c>
      <c r="L210" t="s">
        <v>565</v>
      </c>
    </row>
    <row r="211" spans="9:12">
      <c r="I211" t="s">
        <v>380</v>
      </c>
      <c r="J211" t="s">
        <v>774</v>
      </c>
      <c r="K211" t="s">
        <v>9</v>
      </c>
      <c r="L211" t="s">
        <v>565</v>
      </c>
    </row>
    <row r="212" spans="9:12">
      <c r="I212" t="s">
        <v>380</v>
      </c>
      <c r="J212" t="s">
        <v>775</v>
      </c>
      <c r="K212" t="s">
        <v>9</v>
      </c>
      <c r="L212" t="s">
        <v>565</v>
      </c>
    </row>
    <row r="213" spans="9:12">
      <c r="I213" t="s">
        <v>380</v>
      </c>
      <c r="J213" t="s">
        <v>776</v>
      </c>
      <c r="K213" t="s">
        <v>9</v>
      </c>
      <c r="L213" t="s">
        <v>565</v>
      </c>
    </row>
    <row r="214" spans="9:12">
      <c r="I214" t="s">
        <v>380</v>
      </c>
      <c r="J214" t="s">
        <v>777</v>
      </c>
      <c r="K214" t="s">
        <v>9</v>
      </c>
      <c r="L214" t="s">
        <v>565</v>
      </c>
    </row>
    <row r="215" spans="9:12">
      <c r="I215" t="s">
        <v>380</v>
      </c>
      <c r="J215" t="s">
        <v>778</v>
      </c>
      <c r="K215" t="s">
        <v>9</v>
      </c>
      <c r="L215" t="s">
        <v>565</v>
      </c>
    </row>
    <row r="216" spans="9:12">
      <c r="I216" t="s">
        <v>380</v>
      </c>
      <c r="J216" t="s">
        <v>779</v>
      </c>
      <c r="K216" t="s">
        <v>9</v>
      </c>
      <c r="L216" t="s">
        <v>565</v>
      </c>
    </row>
    <row r="217" spans="9:12">
      <c r="I217" t="s">
        <v>380</v>
      </c>
      <c r="J217" t="s">
        <v>780</v>
      </c>
      <c r="K217" t="s">
        <v>9</v>
      </c>
      <c r="L217" t="s">
        <v>565</v>
      </c>
    </row>
    <row r="218" spans="9:12">
      <c r="I218" t="s">
        <v>380</v>
      </c>
      <c r="J218" t="s">
        <v>781</v>
      </c>
      <c r="K218" t="s">
        <v>9</v>
      </c>
      <c r="L218" t="s">
        <v>565</v>
      </c>
    </row>
    <row r="219" spans="9:12">
      <c r="I219" t="s">
        <v>380</v>
      </c>
      <c r="J219" t="s">
        <v>782</v>
      </c>
      <c r="K219" t="s">
        <v>9</v>
      </c>
      <c r="L219" t="s">
        <v>565</v>
      </c>
    </row>
    <row r="220" spans="9:12">
      <c r="I220" t="s">
        <v>380</v>
      </c>
      <c r="J220" t="s">
        <v>783</v>
      </c>
      <c r="K220" t="s">
        <v>9</v>
      </c>
      <c r="L220" t="s">
        <v>565</v>
      </c>
    </row>
    <row r="221" spans="9:12">
      <c r="I221" t="s">
        <v>380</v>
      </c>
      <c r="J221" t="s">
        <v>784</v>
      </c>
      <c r="K221" t="s">
        <v>9</v>
      </c>
      <c r="L221" t="s">
        <v>565</v>
      </c>
    </row>
    <row r="222" spans="9:12">
      <c r="I222" t="s">
        <v>380</v>
      </c>
      <c r="J222" t="s">
        <v>785</v>
      </c>
      <c r="K222" t="s">
        <v>9</v>
      </c>
      <c r="L222" t="s">
        <v>565</v>
      </c>
    </row>
    <row r="223" spans="9:12">
      <c r="I223" t="s">
        <v>380</v>
      </c>
      <c r="J223" t="s">
        <v>786</v>
      </c>
      <c r="K223" t="s">
        <v>9</v>
      </c>
      <c r="L223" t="s">
        <v>565</v>
      </c>
    </row>
    <row r="224" spans="9:12">
      <c r="I224" t="s">
        <v>380</v>
      </c>
      <c r="J224" t="s">
        <v>787</v>
      </c>
      <c r="K224" t="s">
        <v>9</v>
      </c>
      <c r="L224" t="s">
        <v>565</v>
      </c>
    </row>
    <row r="225" spans="9:12">
      <c r="I225" t="s">
        <v>380</v>
      </c>
      <c r="J225" t="s">
        <v>788</v>
      </c>
      <c r="K225" t="s">
        <v>9</v>
      </c>
      <c r="L225" t="s">
        <v>565</v>
      </c>
    </row>
    <row r="226" spans="9:12">
      <c r="I226" t="s">
        <v>380</v>
      </c>
      <c r="J226" t="s">
        <v>789</v>
      </c>
      <c r="K226" t="s">
        <v>9</v>
      </c>
      <c r="L226" t="s">
        <v>565</v>
      </c>
    </row>
    <row r="227" spans="9:12">
      <c r="I227" t="s">
        <v>380</v>
      </c>
      <c r="J227" t="s">
        <v>790</v>
      </c>
      <c r="K227" t="s">
        <v>9</v>
      </c>
      <c r="L227" t="s">
        <v>565</v>
      </c>
    </row>
    <row r="228" spans="9:12">
      <c r="I228" t="s">
        <v>380</v>
      </c>
      <c r="J228" t="s">
        <v>791</v>
      </c>
      <c r="K228" t="s">
        <v>9</v>
      </c>
      <c r="L228" t="s">
        <v>565</v>
      </c>
    </row>
    <row r="229" spans="9:12">
      <c r="I229" t="s">
        <v>380</v>
      </c>
      <c r="J229" t="s">
        <v>792</v>
      </c>
      <c r="K229" t="s">
        <v>9</v>
      </c>
      <c r="L229" t="s">
        <v>565</v>
      </c>
    </row>
    <row r="230" spans="9:12">
      <c r="I230" t="s">
        <v>380</v>
      </c>
      <c r="J230" t="s">
        <v>793</v>
      </c>
      <c r="K230" t="s">
        <v>9</v>
      </c>
      <c r="L230" t="s">
        <v>565</v>
      </c>
    </row>
    <row r="231" spans="9:12">
      <c r="I231" t="s">
        <v>380</v>
      </c>
      <c r="J231" t="s">
        <v>794</v>
      </c>
      <c r="K231" t="s">
        <v>9</v>
      </c>
      <c r="L231" t="s">
        <v>565</v>
      </c>
    </row>
    <row r="232" spans="9:12">
      <c r="I232" t="s">
        <v>380</v>
      </c>
      <c r="J232" t="s">
        <v>795</v>
      </c>
      <c r="K232" t="s">
        <v>9</v>
      </c>
      <c r="L232" t="s">
        <v>565</v>
      </c>
    </row>
    <row r="233" spans="9:12">
      <c r="I233" t="s">
        <v>380</v>
      </c>
      <c r="J233" t="s">
        <v>796</v>
      </c>
      <c r="K233" t="s">
        <v>9</v>
      </c>
      <c r="L233" t="s">
        <v>565</v>
      </c>
    </row>
    <row r="234" spans="9:12">
      <c r="I234" t="s">
        <v>380</v>
      </c>
      <c r="J234" t="s">
        <v>797</v>
      </c>
      <c r="K234" t="s">
        <v>9</v>
      </c>
      <c r="L234" t="s">
        <v>565</v>
      </c>
    </row>
    <row r="235" spans="9:12">
      <c r="I235" t="s">
        <v>380</v>
      </c>
      <c r="J235" t="s">
        <v>798</v>
      </c>
      <c r="K235" t="s">
        <v>9</v>
      </c>
      <c r="L235" t="s">
        <v>565</v>
      </c>
    </row>
    <row r="236" spans="9:12">
      <c r="I236" t="s">
        <v>380</v>
      </c>
      <c r="J236" t="s">
        <v>799</v>
      </c>
      <c r="K236" t="s">
        <v>9</v>
      </c>
      <c r="L236" t="s">
        <v>565</v>
      </c>
    </row>
    <row r="237" spans="9:12">
      <c r="I237" t="s">
        <v>380</v>
      </c>
      <c r="J237" t="s">
        <v>800</v>
      </c>
      <c r="K237" t="s">
        <v>9</v>
      </c>
      <c r="L237" t="s">
        <v>565</v>
      </c>
    </row>
    <row r="238" spans="9:12">
      <c r="I238" t="s">
        <v>380</v>
      </c>
      <c r="J238" t="s">
        <v>801</v>
      </c>
      <c r="K238" t="s">
        <v>9</v>
      </c>
      <c r="L238" t="s">
        <v>565</v>
      </c>
    </row>
  </sheetData>
  <pageMargins left="0.7" right="0.7" top="0.75" bottom="0.75" header="0.3" footer="0.3"/>
  <pageSetup paperSize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A27E3-1071-4023-A6FB-EF3A0AE2332D}">
  <dimension ref="A1:E7"/>
  <sheetViews>
    <sheetView workbookViewId="0">
      <selection activeCell="F5" sqref="F5"/>
    </sheetView>
  </sheetViews>
  <sheetFormatPr defaultRowHeight="14.4"/>
  <sheetData>
    <row r="1" spans="1:5">
      <c r="A1" t="s">
        <v>0</v>
      </c>
      <c r="B1" t="s">
        <v>1</v>
      </c>
      <c r="D1" t="s">
        <v>333</v>
      </c>
      <c r="E1" t="s">
        <v>156</v>
      </c>
    </row>
    <row r="2" spans="1:5">
      <c r="A2" t="s">
        <v>2</v>
      </c>
      <c r="B2">
        <v>114</v>
      </c>
      <c r="D2" t="s">
        <v>168</v>
      </c>
      <c r="E2">
        <v>0</v>
      </c>
    </row>
    <row r="3" spans="1:5">
      <c r="A3" t="s">
        <v>9</v>
      </c>
      <c r="B3">
        <v>78</v>
      </c>
      <c r="D3" t="s">
        <v>2</v>
      </c>
      <c r="E3">
        <v>114</v>
      </c>
    </row>
    <row r="4" spans="1:5">
      <c r="D4" t="s">
        <v>7</v>
      </c>
      <c r="E4">
        <v>0</v>
      </c>
    </row>
    <row r="5" spans="1:5">
      <c r="D5" t="s">
        <v>8</v>
      </c>
      <c r="E5">
        <v>0</v>
      </c>
    </row>
    <row r="6" spans="1:5">
      <c r="D6" t="s">
        <v>9</v>
      </c>
      <c r="E6">
        <v>78</v>
      </c>
    </row>
    <row r="7" spans="1:5">
      <c r="D7" t="s">
        <v>12</v>
      </c>
      <c r="E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FB1CB-775B-4D7A-B82A-CC91F2A4F64F}">
  <dimension ref="A1:E7"/>
  <sheetViews>
    <sheetView workbookViewId="0">
      <selection activeCell="J7" sqref="J7"/>
    </sheetView>
  </sheetViews>
  <sheetFormatPr defaultRowHeight="14.4"/>
  <sheetData>
    <row r="1" spans="1:5">
      <c r="A1" t="s">
        <v>0</v>
      </c>
      <c r="B1" t="s">
        <v>1</v>
      </c>
      <c r="D1" t="s">
        <v>333</v>
      </c>
      <c r="E1" t="s">
        <v>156</v>
      </c>
    </row>
    <row r="2" spans="1:5">
      <c r="A2" t="s">
        <v>2</v>
      </c>
      <c r="B2">
        <v>135</v>
      </c>
      <c r="D2" t="s">
        <v>168</v>
      </c>
      <c r="E2">
        <v>0</v>
      </c>
    </row>
    <row r="3" spans="1:5">
      <c r="A3" t="s">
        <v>9</v>
      </c>
      <c r="B3">
        <v>82</v>
      </c>
      <c r="D3" t="s">
        <v>2</v>
      </c>
      <c r="E3">
        <v>135</v>
      </c>
    </row>
    <row r="4" spans="1:5">
      <c r="D4" t="s">
        <v>7</v>
      </c>
      <c r="E4">
        <v>0</v>
      </c>
    </row>
    <row r="5" spans="1:5">
      <c r="D5" t="s">
        <v>8</v>
      </c>
      <c r="E5">
        <v>0</v>
      </c>
    </row>
    <row r="6" spans="1:5">
      <c r="D6" t="s">
        <v>9</v>
      </c>
      <c r="E6">
        <v>82</v>
      </c>
    </row>
    <row r="7" spans="1:5">
      <c r="D7" t="s">
        <v>12</v>
      </c>
      <c r="E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ED72F-63F5-4D8A-ADF8-98BD1A301ADF}">
  <dimension ref="A1:E7"/>
  <sheetViews>
    <sheetView workbookViewId="0">
      <selection activeCell="H8" sqref="H8"/>
    </sheetView>
  </sheetViews>
  <sheetFormatPr defaultRowHeight="14.4"/>
  <sheetData>
    <row r="1" spans="1:5">
      <c r="A1" t="s">
        <v>0</v>
      </c>
      <c r="B1" t="s">
        <v>1</v>
      </c>
      <c r="D1" t="s">
        <v>333</v>
      </c>
      <c r="E1" t="s">
        <v>156</v>
      </c>
    </row>
    <row r="2" spans="1:5">
      <c r="A2" t="s">
        <v>2</v>
      </c>
      <c r="B2">
        <v>135</v>
      </c>
      <c r="D2" t="s">
        <v>168</v>
      </c>
      <c r="E2">
        <v>0</v>
      </c>
    </row>
    <row r="3" spans="1:5">
      <c r="A3" t="s">
        <v>9</v>
      </c>
      <c r="B3">
        <v>82</v>
      </c>
      <c r="D3" t="s">
        <v>2</v>
      </c>
      <c r="E3">
        <v>135</v>
      </c>
    </row>
    <row r="4" spans="1:5">
      <c r="D4" t="s">
        <v>7</v>
      </c>
      <c r="E4">
        <v>0</v>
      </c>
    </row>
    <row r="5" spans="1:5">
      <c r="D5" t="s">
        <v>8</v>
      </c>
      <c r="E5">
        <v>0</v>
      </c>
    </row>
    <row r="6" spans="1:5">
      <c r="D6" t="s">
        <v>9</v>
      </c>
      <c r="E6">
        <v>82</v>
      </c>
    </row>
    <row r="7" spans="1:5">
      <c r="D7" t="s">
        <v>12</v>
      </c>
      <c r="E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ECE56-0D3F-460D-A9EA-D6B45D7DCBD4}">
  <dimension ref="A1:E8"/>
  <sheetViews>
    <sheetView workbookViewId="0">
      <selection activeCell="G6" sqref="G6"/>
    </sheetView>
  </sheetViews>
  <sheetFormatPr defaultRowHeight="14.4"/>
  <sheetData>
    <row r="1" spans="1:5">
      <c r="A1" t="s">
        <v>0</v>
      </c>
      <c r="B1" t="s">
        <v>1</v>
      </c>
      <c r="D1" t="s">
        <v>333</v>
      </c>
      <c r="E1" t="s">
        <v>156</v>
      </c>
    </row>
    <row r="2" spans="1:5">
      <c r="A2" t="s">
        <v>2</v>
      </c>
      <c r="B2">
        <v>7</v>
      </c>
      <c r="D2" t="s">
        <v>168</v>
      </c>
      <c r="E2">
        <v>0</v>
      </c>
    </row>
    <row r="3" spans="1:5">
      <c r="A3" t="s">
        <v>169</v>
      </c>
      <c r="B3">
        <v>82</v>
      </c>
      <c r="D3" t="s">
        <v>2</v>
      </c>
      <c r="E3">
        <v>7</v>
      </c>
    </row>
    <row r="4" spans="1:5">
      <c r="A4" t="s">
        <v>9</v>
      </c>
      <c r="B4">
        <v>9</v>
      </c>
      <c r="D4" t="s">
        <v>7</v>
      </c>
      <c r="E4">
        <v>0</v>
      </c>
    </row>
    <row r="5" spans="1:5">
      <c r="D5" t="s">
        <v>8</v>
      </c>
      <c r="E5">
        <v>0</v>
      </c>
    </row>
    <row r="6" spans="1:5">
      <c r="D6" t="s">
        <v>9</v>
      </c>
      <c r="E6">
        <v>9</v>
      </c>
    </row>
    <row r="7" spans="1:5">
      <c r="D7" t="s">
        <v>12</v>
      </c>
      <c r="E7">
        <v>0</v>
      </c>
    </row>
    <row r="8" spans="1:5">
      <c r="D8" t="s">
        <v>169</v>
      </c>
      <c r="E8">
        <v>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B7F9C-25B4-4609-9F35-740D82C67F79}">
  <dimension ref="A1:E7"/>
  <sheetViews>
    <sheetView workbookViewId="0">
      <selection activeCell="E3" sqref="E3"/>
    </sheetView>
  </sheetViews>
  <sheetFormatPr defaultRowHeight="14.4"/>
  <sheetData>
    <row r="1" spans="1:5">
      <c r="A1" t="s">
        <v>0</v>
      </c>
      <c r="B1" t="s">
        <v>1</v>
      </c>
      <c r="D1" t="s">
        <v>333</v>
      </c>
      <c r="E1" t="s">
        <v>156</v>
      </c>
    </row>
    <row r="2" spans="1:5">
      <c r="A2" t="s">
        <v>2</v>
      </c>
      <c r="B2">
        <v>86</v>
      </c>
      <c r="D2" t="s">
        <v>168</v>
      </c>
      <c r="E2">
        <v>0</v>
      </c>
    </row>
    <row r="3" spans="1:5">
      <c r="A3" t="s">
        <v>9</v>
      </c>
      <c r="B3">
        <v>104</v>
      </c>
      <c r="D3" t="s">
        <v>2</v>
      </c>
      <c r="E3">
        <v>86</v>
      </c>
    </row>
    <row r="4" spans="1:5">
      <c r="D4" t="s">
        <v>7</v>
      </c>
      <c r="E4">
        <v>0</v>
      </c>
    </row>
    <row r="5" spans="1:5">
      <c r="D5" t="s">
        <v>8</v>
      </c>
      <c r="E5">
        <v>0</v>
      </c>
    </row>
    <row r="6" spans="1:5">
      <c r="D6" t="s">
        <v>9</v>
      </c>
      <c r="E6">
        <v>104</v>
      </c>
    </row>
    <row r="7" spans="1:5">
      <c r="D7" t="s">
        <v>12</v>
      </c>
      <c r="E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AC9F9-B123-4A62-8DAF-8EEE06F94C9F}">
  <dimension ref="A1:E7"/>
  <sheetViews>
    <sheetView workbookViewId="0">
      <selection activeCell="D1" sqref="D1:E7"/>
    </sheetView>
  </sheetViews>
  <sheetFormatPr defaultRowHeight="14.4"/>
  <sheetData>
    <row r="1" spans="1:5">
      <c r="A1" t="s">
        <v>0</v>
      </c>
      <c r="B1" t="s">
        <v>1</v>
      </c>
      <c r="D1" t="s">
        <v>333</v>
      </c>
      <c r="E1" t="s">
        <v>156</v>
      </c>
    </row>
    <row r="2" spans="1:5">
      <c r="A2" t="s">
        <v>2</v>
      </c>
      <c r="B2">
        <v>86</v>
      </c>
      <c r="D2" t="s">
        <v>168</v>
      </c>
      <c r="E2">
        <v>0</v>
      </c>
    </row>
    <row r="3" spans="1:5">
      <c r="A3" t="s">
        <v>9</v>
      </c>
      <c r="B3">
        <v>104</v>
      </c>
      <c r="D3" t="s">
        <v>2</v>
      </c>
      <c r="E3">
        <v>86</v>
      </c>
    </row>
    <row r="4" spans="1:5">
      <c r="D4" t="s">
        <v>7</v>
      </c>
      <c r="E4">
        <v>0</v>
      </c>
    </row>
    <row r="5" spans="1:5">
      <c r="D5" t="s">
        <v>8</v>
      </c>
      <c r="E5">
        <v>0</v>
      </c>
    </row>
    <row r="6" spans="1:5">
      <c r="D6" t="s">
        <v>9</v>
      </c>
      <c r="E6">
        <v>104</v>
      </c>
    </row>
    <row r="7" spans="1:5">
      <c r="D7" t="s">
        <v>12</v>
      </c>
      <c r="E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E6118-EBF8-4729-8335-CC5E9F6F3EC6}">
  <dimension ref="A1:E8"/>
  <sheetViews>
    <sheetView workbookViewId="0">
      <selection activeCell="G6" sqref="G6"/>
    </sheetView>
  </sheetViews>
  <sheetFormatPr defaultRowHeight="14.4"/>
  <sheetData>
    <row r="1" spans="1:5">
      <c r="A1" t="s">
        <v>0</v>
      </c>
      <c r="B1" t="s">
        <v>1</v>
      </c>
      <c r="D1" t="s">
        <v>333</v>
      </c>
      <c r="E1" t="s">
        <v>156</v>
      </c>
    </row>
    <row r="2" spans="1:5">
      <c r="A2" t="s">
        <v>2</v>
      </c>
      <c r="B2">
        <v>7</v>
      </c>
      <c r="D2" t="s">
        <v>168</v>
      </c>
      <c r="E2">
        <v>0</v>
      </c>
    </row>
    <row r="3" spans="1:5">
      <c r="A3" t="s">
        <v>169</v>
      </c>
      <c r="B3">
        <v>104</v>
      </c>
      <c r="D3" t="s">
        <v>2</v>
      </c>
      <c r="E3">
        <v>7</v>
      </c>
    </row>
    <row r="4" spans="1:5">
      <c r="A4" t="s">
        <v>9</v>
      </c>
      <c r="B4">
        <v>9</v>
      </c>
      <c r="D4" t="s">
        <v>7</v>
      </c>
      <c r="E4">
        <v>0</v>
      </c>
    </row>
    <row r="5" spans="1:5">
      <c r="D5" t="s">
        <v>8</v>
      </c>
      <c r="E5">
        <v>0</v>
      </c>
    </row>
    <row r="6" spans="1:5">
      <c r="D6" t="s">
        <v>169</v>
      </c>
      <c r="E6">
        <v>104</v>
      </c>
    </row>
    <row r="7" spans="1:5">
      <c r="D7" t="s">
        <v>9</v>
      </c>
      <c r="E7">
        <v>9</v>
      </c>
    </row>
    <row r="8" spans="1:5">
      <c r="D8" t="s">
        <v>12</v>
      </c>
      <c r="E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82D6E-91D0-498F-9AD6-1FD247CDDB5B}">
  <dimension ref="A1:E8"/>
  <sheetViews>
    <sheetView workbookViewId="0">
      <selection activeCell="F1" sqref="F1"/>
    </sheetView>
  </sheetViews>
  <sheetFormatPr defaultRowHeight="14.4"/>
  <sheetData>
    <row r="1" spans="1:5">
      <c r="A1" t="s">
        <v>0</v>
      </c>
      <c r="B1" t="s">
        <v>1</v>
      </c>
      <c r="D1" t="s">
        <v>333</v>
      </c>
      <c r="E1" t="s">
        <v>156</v>
      </c>
    </row>
    <row r="2" spans="1:5">
      <c r="A2" t="s">
        <v>2</v>
      </c>
      <c r="B2">
        <v>3</v>
      </c>
      <c r="D2" t="s">
        <v>168</v>
      </c>
      <c r="E2">
        <v>0</v>
      </c>
    </row>
    <row r="3" spans="1:5">
      <c r="A3" t="s">
        <v>8</v>
      </c>
      <c r="B3">
        <v>2</v>
      </c>
      <c r="D3" t="s">
        <v>2</v>
      </c>
      <c r="E3">
        <v>3</v>
      </c>
    </row>
    <row r="4" spans="1:5">
      <c r="A4" t="s">
        <v>9</v>
      </c>
      <c r="B4">
        <v>11</v>
      </c>
      <c r="D4" t="s">
        <v>7</v>
      </c>
      <c r="E4">
        <v>0</v>
      </c>
    </row>
    <row r="5" spans="1:5">
      <c r="D5" t="s">
        <v>8</v>
      </c>
      <c r="E5">
        <v>2</v>
      </c>
    </row>
    <row r="6" spans="1:5">
      <c r="D6" t="s">
        <v>169</v>
      </c>
      <c r="E6">
        <v>0</v>
      </c>
    </row>
    <row r="7" spans="1:5">
      <c r="D7" t="s">
        <v>9</v>
      </c>
      <c r="E7">
        <v>11</v>
      </c>
    </row>
    <row r="8" spans="1:5">
      <c r="D8" t="s">
        <v>12</v>
      </c>
      <c r="E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65175-64E3-4A75-8FCD-9165428B2847}">
  <dimension ref="A1"/>
  <sheetViews>
    <sheetView workbookViewId="0">
      <selection activeCell="J1" sqref="J1"/>
    </sheetView>
  </sheetViews>
  <sheetFormatPr defaultRowHeight="14.4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69767-CF14-4D37-9620-80C046B8DAD2}">
  <dimension ref="A1"/>
  <sheetViews>
    <sheetView workbookViewId="0"/>
  </sheetViews>
  <sheetFormatPr defaultRowHeight="14.4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E6C5A-C174-48A7-B6C3-08F8ABFF3E01}">
  <dimension ref="A1:E8"/>
  <sheetViews>
    <sheetView workbookViewId="0">
      <selection activeCell="F6" sqref="F6"/>
    </sheetView>
  </sheetViews>
  <sheetFormatPr defaultRowHeight="14.4"/>
  <sheetData>
    <row r="1" spans="1:5">
      <c r="A1" t="s">
        <v>0</v>
      </c>
      <c r="B1" t="s">
        <v>1</v>
      </c>
      <c r="D1" t="s">
        <v>333</v>
      </c>
      <c r="E1" t="s">
        <v>156</v>
      </c>
    </row>
    <row r="2" spans="1:5">
      <c r="A2" t="s">
        <v>169</v>
      </c>
      <c r="B2">
        <v>91</v>
      </c>
      <c r="D2" t="s">
        <v>168</v>
      </c>
      <c r="E2">
        <v>0</v>
      </c>
    </row>
    <row r="3" spans="1:5">
      <c r="D3" t="s">
        <v>2</v>
      </c>
      <c r="E3">
        <v>0</v>
      </c>
    </row>
    <row r="4" spans="1:5">
      <c r="D4" t="s">
        <v>7</v>
      </c>
      <c r="E4">
        <v>0</v>
      </c>
    </row>
    <row r="5" spans="1:5">
      <c r="D5" t="s">
        <v>8</v>
      </c>
      <c r="E5">
        <v>0</v>
      </c>
    </row>
    <row r="6" spans="1:5">
      <c r="D6" t="s">
        <v>169</v>
      </c>
      <c r="E6">
        <v>91</v>
      </c>
    </row>
    <row r="7" spans="1:5">
      <c r="D7" t="s">
        <v>9</v>
      </c>
      <c r="E7">
        <v>0</v>
      </c>
    </row>
    <row r="8" spans="1:5">
      <c r="D8" t="s">
        <v>12</v>
      </c>
      <c r="E8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C4F12-91DA-4349-B716-DD8ED992153E}">
  <dimension ref="A1:E8"/>
  <sheetViews>
    <sheetView workbookViewId="0">
      <selection activeCell="G4" sqref="G4"/>
    </sheetView>
  </sheetViews>
  <sheetFormatPr defaultRowHeight="14.4"/>
  <sheetData>
    <row r="1" spans="1:5">
      <c r="A1" t="s">
        <v>0</v>
      </c>
      <c r="B1" t="s">
        <v>1</v>
      </c>
      <c r="D1" t="s">
        <v>333</v>
      </c>
      <c r="E1" t="s">
        <v>156</v>
      </c>
    </row>
    <row r="2" spans="1:5">
      <c r="A2" t="s">
        <v>169</v>
      </c>
      <c r="B2">
        <v>113</v>
      </c>
      <c r="D2" t="s">
        <v>168</v>
      </c>
      <c r="E2">
        <v>0</v>
      </c>
    </row>
    <row r="3" spans="1:5">
      <c r="D3" t="s">
        <v>2</v>
      </c>
      <c r="E3">
        <v>0</v>
      </c>
    </row>
    <row r="4" spans="1:5">
      <c r="D4" t="s">
        <v>7</v>
      </c>
      <c r="E4">
        <v>0</v>
      </c>
    </row>
    <row r="5" spans="1:5">
      <c r="D5" t="s">
        <v>8</v>
      </c>
      <c r="E5">
        <v>0</v>
      </c>
    </row>
    <row r="6" spans="1:5">
      <c r="D6" t="s">
        <v>169</v>
      </c>
      <c r="E6">
        <v>113</v>
      </c>
    </row>
    <row r="7" spans="1:5">
      <c r="D7" t="s">
        <v>9</v>
      </c>
      <c r="E7">
        <v>0</v>
      </c>
    </row>
    <row r="8" spans="1:5">
      <c r="D8" t="s">
        <v>12</v>
      </c>
      <c r="E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9B85E-96AB-4573-A349-645B443B921D}">
  <dimension ref="A1:E8"/>
  <sheetViews>
    <sheetView tabSelected="1" workbookViewId="0">
      <selection activeCell="G5" sqref="G5"/>
    </sheetView>
  </sheetViews>
  <sheetFormatPr defaultRowHeight="14.4"/>
  <sheetData>
    <row r="1" spans="1:5">
      <c r="A1" t="s">
        <v>0</v>
      </c>
      <c r="B1" t="s">
        <v>1</v>
      </c>
      <c r="D1" t="s">
        <v>333</v>
      </c>
      <c r="E1" t="s">
        <v>156</v>
      </c>
    </row>
    <row r="2" spans="1:5">
      <c r="A2" t="s">
        <v>169</v>
      </c>
      <c r="B2">
        <v>76</v>
      </c>
      <c r="D2" t="s">
        <v>168</v>
      </c>
      <c r="E2">
        <v>0</v>
      </c>
    </row>
    <row r="3" spans="1:5">
      <c r="D3" t="s">
        <v>2</v>
      </c>
      <c r="E3">
        <v>0</v>
      </c>
    </row>
    <row r="4" spans="1:5">
      <c r="D4" t="s">
        <v>7</v>
      </c>
      <c r="E4">
        <v>0</v>
      </c>
    </row>
    <row r="5" spans="1:5">
      <c r="D5" t="s">
        <v>8</v>
      </c>
      <c r="E5">
        <v>0</v>
      </c>
    </row>
    <row r="6" spans="1:5">
      <c r="D6" t="s">
        <v>169</v>
      </c>
      <c r="E6">
        <v>76</v>
      </c>
    </row>
    <row r="7" spans="1:5">
      <c r="D7" t="s">
        <v>9</v>
      </c>
      <c r="E7">
        <v>0</v>
      </c>
    </row>
    <row r="8" spans="1:5">
      <c r="D8" t="s">
        <v>12</v>
      </c>
      <c r="E8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3ED5B-43D9-4462-9B9D-E11DEFE01679}">
  <dimension ref="A1:K53"/>
  <sheetViews>
    <sheetView topLeftCell="A40" workbookViewId="0">
      <selection activeCell="A51" sqref="A51:D53"/>
    </sheetView>
  </sheetViews>
  <sheetFormatPr defaultRowHeight="14.4"/>
  <cols>
    <col min="1" max="1" width="15.109375" bestFit="1" customWidth="1"/>
    <col min="2" max="2" width="15.6640625" bestFit="1" customWidth="1"/>
    <col min="3" max="3" width="14.44140625" bestFit="1" customWidth="1"/>
    <col min="9" max="9" width="19.33203125" customWidth="1"/>
  </cols>
  <sheetData>
    <row r="1" spans="1:11" s="2" customFormat="1">
      <c r="A1" s="2" t="s">
        <v>353</v>
      </c>
      <c r="B1" s="2" t="s">
        <v>0</v>
      </c>
      <c r="C1" s="2" t="s">
        <v>1</v>
      </c>
      <c r="G1" s="2" t="s">
        <v>396</v>
      </c>
      <c r="I1"/>
      <c r="J1"/>
      <c r="K1"/>
    </row>
    <row r="2" spans="1:11">
      <c r="A2" s="10" t="s">
        <v>380</v>
      </c>
      <c r="B2" s="10" t="s">
        <v>2</v>
      </c>
      <c r="C2" s="10">
        <v>142</v>
      </c>
      <c r="G2" t="s">
        <v>161</v>
      </c>
      <c r="H2">
        <v>46</v>
      </c>
    </row>
    <row r="3" spans="1:11">
      <c r="A3" s="10" t="s">
        <v>380</v>
      </c>
      <c r="B3" s="10" t="s">
        <v>9</v>
      </c>
      <c r="C3" s="10">
        <v>95</v>
      </c>
      <c r="G3" t="s">
        <v>164</v>
      </c>
      <c r="H3">
        <f>C3+C6+C8+C10+C14+C16+C18+C22+C30+C40+C43</f>
        <v>716</v>
      </c>
    </row>
    <row r="4" spans="1:11">
      <c r="A4" t="s">
        <v>381</v>
      </c>
      <c r="B4" t="s">
        <v>2</v>
      </c>
      <c r="C4">
        <v>116</v>
      </c>
      <c r="G4" t="s">
        <v>394</v>
      </c>
      <c r="H4">
        <f>C2+C4+C7+C9+C11+C15+C17+C19+C24+C34+C41</f>
        <v>1001</v>
      </c>
    </row>
    <row r="5" spans="1:11">
      <c r="A5" t="s">
        <v>381</v>
      </c>
      <c r="B5" t="s">
        <v>357</v>
      </c>
      <c r="C5">
        <v>2</v>
      </c>
      <c r="G5" t="s">
        <v>395</v>
      </c>
      <c r="H5">
        <v>5</v>
      </c>
    </row>
    <row r="6" spans="1:11">
      <c r="A6" t="s">
        <v>381</v>
      </c>
      <c r="B6" t="s">
        <v>9</v>
      </c>
      <c r="C6">
        <v>78</v>
      </c>
      <c r="G6" t="s">
        <v>397</v>
      </c>
      <c r="H6">
        <v>466</v>
      </c>
    </row>
    <row r="7" spans="1:11">
      <c r="A7" s="10" t="s">
        <v>382</v>
      </c>
      <c r="B7" s="10" t="s">
        <v>2</v>
      </c>
      <c r="C7" s="10">
        <v>135</v>
      </c>
      <c r="G7" t="s">
        <v>401</v>
      </c>
      <c r="H7">
        <v>4</v>
      </c>
    </row>
    <row r="8" spans="1:11">
      <c r="A8" s="10" t="s">
        <v>382</v>
      </c>
      <c r="B8" s="10" t="s">
        <v>9</v>
      </c>
      <c r="C8" s="10">
        <v>82</v>
      </c>
      <c r="G8" t="s">
        <v>402</v>
      </c>
      <c r="H8">
        <v>1</v>
      </c>
    </row>
    <row r="9" spans="1:11">
      <c r="A9" t="s">
        <v>383</v>
      </c>
      <c r="B9" t="s">
        <v>2</v>
      </c>
      <c r="C9">
        <v>135</v>
      </c>
      <c r="G9" t="s">
        <v>403</v>
      </c>
      <c r="H9">
        <v>9</v>
      </c>
    </row>
    <row r="10" spans="1:11">
      <c r="A10" t="s">
        <v>383</v>
      </c>
      <c r="B10" t="s">
        <v>9</v>
      </c>
      <c r="C10">
        <v>82</v>
      </c>
      <c r="G10" t="s">
        <v>398</v>
      </c>
      <c r="H10">
        <v>31</v>
      </c>
    </row>
    <row r="11" spans="1:11">
      <c r="A11" s="10" t="s">
        <v>384</v>
      </c>
      <c r="B11" s="10" t="s">
        <v>2</v>
      </c>
      <c r="C11" s="10">
        <v>9</v>
      </c>
      <c r="G11" t="s">
        <v>399</v>
      </c>
      <c r="H11">
        <v>7</v>
      </c>
    </row>
    <row r="12" spans="1:11">
      <c r="A12" s="10" t="s">
        <v>384</v>
      </c>
      <c r="B12" s="10" t="s">
        <v>357</v>
      </c>
      <c r="C12" s="10">
        <v>2</v>
      </c>
      <c r="G12" t="s">
        <v>400</v>
      </c>
      <c r="H12">
        <v>7</v>
      </c>
    </row>
    <row r="13" spans="1:11">
      <c r="A13" s="10" t="s">
        <v>384</v>
      </c>
      <c r="B13" s="10" t="s">
        <v>169</v>
      </c>
      <c r="C13" s="10">
        <v>82</v>
      </c>
      <c r="G13" t="s">
        <v>404</v>
      </c>
      <c r="H13">
        <v>1001</v>
      </c>
    </row>
    <row r="14" spans="1:11">
      <c r="A14" s="10" t="s">
        <v>384</v>
      </c>
      <c r="B14" s="10" t="s">
        <v>9</v>
      </c>
      <c r="C14" s="10">
        <v>9</v>
      </c>
    </row>
    <row r="15" spans="1:11">
      <c r="A15" t="s">
        <v>385</v>
      </c>
      <c r="B15" t="s">
        <v>2</v>
      </c>
      <c r="C15">
        <v>86</v>
      </c>
    </row>
    <row r="16" spans="1:11">
      <c r="A16" t="s">
        <v>385</v>
      </c>
      <c r="B16" t="s">
        <v>9</v>
      </c>
      <c r="C16">
        <v>104</v>
      </c>
    </row>
    <row r="17" spans="1:4">
      <c r="A17" s="10" t="s">
        <v>386</v>
      </c>
      <c r="B17" s="10" t="s">
        <v>2</v>
      </c>
      <c r="C17" s="10">
        <v>86</v>
      </c>
    </row>
    <row r="18" spans="1:4">
      <c r="A18" s="10" t="s">
        <v>386</v>
      </c>
      <c r="B18" s="10" t="s">
        <v>9</v>
      </c>
      <c r="C18" s="10">
        <v>104</v>
      </c>
    </row>
    <row r="19" spans="1:4">
      <c r="A19" t="s">
        <v>387</v>
      </c>
      <c r="B19" t="s">
        <v>2</v>
      </c>
      <c r="C19">
        <v>9</v>
      </c>
    </row>
    <row r="20" spans="1:4">
      <c r="A20" t="s">
        <v>387</v>
      </c>
      <c r="B20" t="s">
        <v>357</v>
      </c>
      <c r="C20">
        <v>2</v>
      </c>
    </row>
    <row r="21" spans="1:4">
      <c r="A21" t="s">
        <v>387</v>
      </c>
      <c r="B21" t="s">
        <v>169</v>
      </c>
      <c r="C21">
        <v>104</v>
      </c>
    </row>
    <row r="22" spans="1:4">
      <c r="A22" t="s">
        <v>387</v>
      </c>
      <c r="B22" t="s">
        <v>9</v>
      </c>
      <c r="C22">
        <v>9</v>
      </c>
    </row>
    <row r="23" spans="1:4">
      <c r="A23" s="10" t="s">
        <v>388</v>
      </c>
      <c r="B23" s="10" t="s">
        <v>168</v>
      </c>
      <c r="C23" s="11">
        <v>1</v>
      </c>
      <c r="D23">
        <v>1</v>
      </c>
    </row>
    <row r="24" spans="1:4">
      <c r="A24" s="10" t="s">
        <v>388</v>
      </c>
      <c r="B24" s="10" t="s">
        <v>2</v>
      </c>
      <c r="C24" s="11">
        <v>181</v>
      </c>
      <c r="D24">
        <v>173</v>
      </c>
    </row>
    <row r="25" spans="1:4">
      <c r="A25" s="10" t="s">
        <v>388</v>
      </c>
      <c r="B25" s="10" t="s">
        <v>3</v>
      </c>
      <c r="C25" s="10">
        <v>7</v>
      </c>
      <c r="D25">
        <v>179</v>
      </c>
    </row>
    <row r="26" spans="1:4">
      <c r="A26" s="10" t="s">
        <v>388</v>
      </c>
      <c r="B26" s="10" t="s">
        <v>357</v>
      </c>
      <c r="C26" s="10">
        <v>22</v>
      </c>
      <c r="D26">
        <v>18</v>
      </c>
    </row>
    <row r="27" spans="1:4">
      <c r="A27" s="10" t="s">
        <v>388</v>
      </c>
      <c r="B27" s="10" t="s">
        <v>5</v>
      </c>
      <c r="C27" s="10">
        <v>4</v>
      </c>
      <c r="D27">
        <v>69</v>
      </c>
    </row>
    <row r="28" spans="1:4">
      <c r="A28" s="10" t="s">
        <v>388</v>
      </c>
      <c r="B28" s="10" t="s">
        <v>6</v>
      </c>
      <c r="C28" s="10">
        <v>4</v>
      </c>
    </row>
    <row r="29" spans="1:4">
      <c r="A29" s="10" t="s">
        <v>388</v>
      </c>
      <c r="B29" s="10" t="s">
        <v>8</v>
      </c>
      <c r="C29" s="11">
        <v>2</v>
      </c>
      <c r="D29">
        <v>2</v>
      </c>
    </row>
    <row r="30" spans="1:4">
      <c r="A30" s="10" t="s">
        <v>388</v>
      </c>
      <c r="B30" s="10" t="s">
        <v>9</v>
      </c>
      <c r="C30" s="11">
        <v>81</v>
      </c>
      <c r="D30">
        <v>81</v>
      </c>
    </row>
    <row r="31" spans="1:4">
      <c r="A31" s="10" t="s">
        <v>388</v>
      </c>
      <c r="B31" s="10" t="s">
        <v>10</v>
      </c>
      <c r="C31" s="10">
        <v>7</v>
      </c>
    </row>
    <row r="32" spans="1:4">
      <c r="A32" s="10" t="s">
        <v>388</v>
      </c>
      <c r="B32" s="10" t="s">
        <v>12</v>
      </c>
      <c r="C32" s="10">
        <v>4</v>
      </c>
      <c r="D32">
        <v>2</v>
      </c>
    </row>
    <row r="33" spans="1:4">
      <c r="A33" s="10" t="s">
        <v>388</v>
      </c>
      <c r="B33" s="10" t="s">
        <v>13</v>
      </c>
      <c r="C33" s="11">
        <v>1</v>
      </c>
      <c r="D33">
        <v>1</v>
      </c>
    </row>
    <row r="34" spans="1:4">
      <c r="A34" t="s">
        <v>389</v>
      </c>
      <c r="B34" t="s">
        <v>2</v>
      </c>
      <c r="C34">
        <v>99</v>
      </c>
    </row>
    <row r="35" spans="1:4">
      <c r="A35" t="s">
        <v>389</v>
      </c>
      <c r="B35" t="s">
        <v>357</v>
      </c>
      <c r="C35">
        <v>3</v>
      </c>
    </row>
    <row r="36" spans="1:4">
      <c r="A36" t="s">
        <v>389</v>
      </c>
      <c r="B36" t="s">
        <v>5</v>
      </c>
      <c r="C36">
        <v>1</v>
      </c>
    </row>
    <row r="37" spans="1:4">
      <c r="A37" t="s">
        <v>389</v>
      </c>
      <c r="B37" t="s">
        <v>6</v>
      </c>
      <c r="C37">
        <v>1</v>
      </c>
    </row>
    <row r="38" spans="1:4">
      <c r="A38" t="s">
        <v>389</v>
      </c>
      <c r="B38" t="s">
        <v>7</v>
      </c>
      <c r="C38">
        <v>9</v>
      </c>
    </row>
    <row r="39" spans="1:4">
      <c r="A39" t="s">
        <v>389</v>
      </c>
      <c r="B39" t="s">
        <v>8</v>
      </c>
      <c r="C39">
        <v>42</v>
      </c>
    </row>
    <row r="40" spans="1:4">
      <c r="A40" t="s">
        <v>389</v>
      </c>
      <c r="B40" t="s">
        <v>9</v>
      </c>
      <c r="C40">
        <v>61</v>
      </c>
    </row>
    <row r="41" spans="1:4">
      <c r="A41" s="10" t="s">
        <v>390</v>
      </c>
      <c r="B41" s="10" t="s">
        <v>2</v>
      </c>
      <c r="C41" s="10">
        <v>3</v>
      </c>
    </row>
    <row r="42" spans="1:4">
      <c r="A42" s="10" t="s">
        <v>390</v>
      </c>
      <c r="B42" s="10" t="s">
        <v>8</v>
      </c>
      <c r="C42" s="10">
        <v>2</v>
      </c>
    </row>
    <row r="43" spans="1:4">
      <c r="A43" s="10" t="s">
        <v>390</v>
      </c>
      <c r="B43" s="10" t="s">
        <v>9</v>
      </c>
      <c r="C43" s="10">
        <v>11</v>
      </c>
    </row>
    <row r="44" spans="1:4">
      <c r="A44" t="s">
        <v>391</v>
      </c>
      <c r="B44" t="s">
        <v>169</v>
      </c>
      <c r="C44">
        <v>91</v>
      </c>
    </row>
    <row r="45" spans="1:4">
      <c r="A45" t="s">
        <v>392</v>
      </c>
      <c r="B45" t="s">
        <v>169</v>
      </c>
      <c r="C45">
        <v>113</v>
      </c>
    </row>
    <row r="46" spans="1:4">
      <c r="A46" s="10" t="s">
        <v>393</v>
      </c>
      <c r="B46" s="10" t="s">
        <v>169</v>
      </c>
      <c r="C46" s="10">
        <v>76</v>
      </c>
    </row>
    <row r="51" spans="1:4">
      <c r="A51" s="22" t="s">
        <v>556</v>
      </c>
      <c r="B51" s="22"/>
      <c r="C51" s="22"/>
      <c r="D51" s="22"/>
    </row>
    <row r="52" spans="1:4">
      <c r="A52" s="22"/>
      <c r="B52" s="22"/>
      <c r="C52" s="22"/>
      <c r="D52" s="22"/>
    </row>
    <row r="53" spans="1:4">
      <c r="A53" s="22"/>
      <c r="B53" s="22"/>
      <c r="C53" s="22"/>
      <c r="D53" s="22"/>
    </row>
  </sheetData>
  <mergeCells count="1">
    <mergeCell ref="A51:D53"/>
  </mergeCells>
  <pageMargins left="0.7" right="0.7" top="0.75" bottom="0.75" header="0.3" footer="0.3"/>
  <pageSetup paperSize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DE887-90C6-4114-944B-CCEC882D005B}">
  <sheetPr filterMode="1"/>
  <dimension ref="A1:C310"/>
  <sheetViews>
    <sheetView topLeftCell="A76" workbookViewId="0">
      <selection sqref="A1:C304"/>
    </sheetView>
  </sheetViews>
  <sheetFormatPr defaultRowHeight="14.4"/>
  <cols>
    <col min="1" max="1" width="32.33203125" bestFit="1" customWidth="1"/>
    <col min="2" max="2" width="28.109375" bestFit="1" customWidth="1"/>
    <col min="3" max="3" width="19.6640625" bestFit="1" customWidth="1"/>
  </cols>
  <sheetData>
    <row r="1" spans="1:3">
      <c r="A1" s="2" t="s">
        <v>422</v>
      </c>
      <c r="B1" s="2" t="s">
        <v>423</v>
      </c>
      <c r="C1" s="2" t="s">
        <v>424</v>
      </c>
    </row>
    <row r="2" spans="1:3" hidden="1">
      <c r="A2" t="s">
        <v>425</v>
      </c>
      <c r="B2" t="s">
        <v>426</v>
      </c>
      <c r="C2">
        <v>1</v>
      </c>
    </row>
    <row r="3" spans="1:3" hidden="1">
      <c r="A3" t="s">
        <v>427</v>
      </c>
      <c r="B3" t="s">
        <v>428</v>
      </c>
      <c r="C3">
        <v>47</v>
      </c>
    </row>
    <row r="4" spans="1:3" hidden="1">
      <c r="A4" t="s">
        <v>429</v>
      </c>
      <c r="B4" t="s">
        <v>430</v>
      </c>
      <c r="C4">
        <v>46</v>
      </c>
    </row>
    <row r="5" spans="1:3" hidden="1">
      <c r="A5" t="s">
        <v>431</v>
      </c>
      <c r="B5" t="s">
        <v>432</v>
      </c>
      <c r="C5">
        <v>3</v>
      </c>
    </row>
    <row r="6" spans="1:3" hidden="1">
      <c r="A6" t="s">
        <v>433</v>
      </c>
      <c r="B6" t="s">
        <v>434</v>
      </c>
      <c r="C6">
        <v>3</v>
      </c>
    </row>
    <row r="7" spans="1:3" hidden="1">
      <c r="A7" t="s">
        <v>435</v>
      </c>
      <c r="B7" t="s">
        <v>436</v>
      </c>
      <c r="C7">
        <v>47</v>
      </c>
    </row>
    <row r="8" spans="1:3" hidden="1">
      <c r="A8" t="s">
        <v>437</v>
      </c>
      <c r="B8" t="s">
        <v>438</v>
      </c>
      <c r="C8">
        <v>47</v>
      </c>
    </row>
    <row r="9" spans="1:3">
      <c r="A9" t="s">
        <v>439</v>
      </c>
      <c r="B9" t="s">
        <v>440</v>
      </c>
      <c r="C9">
        <v>3</v>
      </c>
    </row>
    <row r="10" spans="1:3" hidden="1">
      <c r="A10" t="s">
        <v>439</v>
      </c>
      <c r="B10" t="s">
        <v>441</v>
      </c>
      <c r="C10">
        <v>26</v>
      </c>
    </row>
    <row r="11" spans="1:3" hidden="1">
      <c r="A11" t="s">
        <v>439</v>
      </c>
      <c r="B11" t="s">
        <v>426</v>
      </c>
      <c r="C11">
        <v>16</v>
      </c>
    </row>
    <row r="12" spans="1:3">
      <c r="A12" t="s">
        <v>442</v>
      </c>
      <c r="B12" t="s">
        <v>440</v>
      </c>
      <c r="C12">
        <v>3</v>
      </c>
    </row>
    <row r="13" spans="1:3" hidden="1">
      <c r="A13" t="s">
        <v>442</v>
      </c>
      <c r="B13" t="s">
        <v>441</v>
      </c>
      <c r="C13">
        <v>25</v>
      </c>
    </row>
    <row r="14" spans="1:3" hidden="1">
      <c r="A14" t="s">
        <v>442</v>
      </c>
      <c r="B14" t="s">
        <v>426</v>
      </c>
      <c r="C14">
        <v>13</v>
      </c>
    </row>
    <row r="15" spans="1:3" hidden="1">
      <c r="A15" t="s">
        <v>443</v>
      </c>
      <c r="B15" t="s">
        <v>441</v>
      </c>
      <c r="C15">
        <v>12</v>
      </c>
    </row>
    <row r="16" spans="1:3" hidden="1">
      <c r="A16" t="s">
        <v>443</v>
      </c>
      <c r="B16" t="s">
        <v>426</v>
      </c>
      <c r="C16">
        <v>35</v>
      </c>
    </row>
    <row r="17" spans="1:3" hidden="1">
      <c r="A17" t="s">
        <v>428</v>
      </c>
      <c r="B17" t="s">
        <v>440</v>
      </c>
      <c r="C17">
        <v>3</v>
      </c>
    </row>
    <row r="18" spans="1:3" hidden="1">
      <c r="A18" t="s">
        <v>428</v>
      </c>
      <c r="B18" t="s">
        <v>441</v>
      </c>
      <c r="C18">
        <v>25</v>
      </c>
    </row>
    <row r="19" spans="1:3" hidden="1">
      <c r="A19" t="s">
        <v>428</v>
      </c>
      <c r="B19" t="s">
        <v>426</v>
      </c>
      <c r="C19">
        <v>17</v>
      </c>
    </row>
    <row r="20" spans="1:3" hidden="1">
      <c r="A20" t="s">
        <v>430</v>
      </c>
      <c r="B20" t="s">
        <v>440</v>
      </c>
      <c r="C20">
        <v>3</v>
      </c>
    </row>
    <row r="21" spans="1:3" hidden="1">
      <c r="A21" t="s">
        <v>430</v>
      </c>
      <c r="B21" t="s">
        <v>441</v>
      </c>
      <c r="C21">
        <v>25</v>
      </c>
    </row>
    <row r="22" spans="1:3" hidden="1">
      <c r="A22" t="s">
        <v>430</v>
      </c>
      <c r="B22" t="s">
        <v>426</v>
      </c>
      <c r="C22">
        <v>13</v>
      </c>
    </row>
    <row r="23" spans="1:3" hidden="1">
      <c r="A23" t="s">
        <v>432</v>
      </c>
      <c r="B23" t="s">
        <v>441</v>
      </c>
      <c r="C23">
        <v>2</v>
      </c>
    </row>
    <row r="24" spans="1:3" hidden="1">
      <c r="A24" t="s">
        <v>432</v>
      </c>
      <c r="B24" t="s">
        <v>426</v>
      </c>
      <c r="C24">
        <v>2</v>
      </c>
    </row>
    <row r="25" spans="1:3" hidden="1">
      <c r="A25" t="s">
        <v>434</v>
      </c>
      <c r="B25" t="s">
        <v>441</v>
      </c>
      <c r="C25">
        <v>2</v>
      </c>
    </row>
    <row r="26" spans="1:3" hidden="1">
      <c r="A26" t="s">
        <v>434</v>
      </c>
      <c r="B26" t="s">
        <v>426</v>
      </c>
      <c r="C26">
        <v>2</v>
      </c>
    </row>
    <row r="27" spans="1:3" hidden="1">
      <c r="A27" t="s">
        <v>436</v>
      </c>
      <c r="B27" t="s">
        <v>440</v>
      </c>
      <c r="C27">
        <v>3</v>
      </c>
    </row>
    <row r="28" spans="1:3" hidden="1">
      <c r="A28" t="s">
        <v>436</v>
      </c>
      <c r="B28" t="s">
        <v>441</v>
      </c>
      <c r="C28">
        <v>25</v>
      </c>
    </row>
    <row r="29" spans="1:3" hidden="1">
      <c r="A29" t="s">
        <v>436</v>
      </c>
      <c r="B29" t="s">
        <v>426</v>
      </c>
      <c r="C29">
        <v>17</v>
      </c>
    </row>
    <row r="30" spans="1:3" hidden="1">
      <c r="A30" t="s">
        <v>438</v>
      </c>
      <c r="B30" t="s">
        <v>440</v>
      </c>
      <c r="C30">
        <v>3</v>
      </c>
    </row>
    <row r="31" spans="1:3" hidden="1">
      <c r="A31" t="s">
        <v>438</v>
      </c>
      <c r="B31" t="s">
        <v>441</v>
      </c>
      <c r="C31">
        <v>25</v>
      </c>
    </row>
    <row r="32" spans="1:3" hidden="1">
      <c r="A32" t="s">
        <v>438</v>
      </c>
      <c r="B32" t="s">
        <v>426</v>
      </c>
      <c r="C32">
        <v>13</v>
      </c>
    </row>
    <row r="33" spans="1:3" hidden="1">
      <c r="A33" t="s">
        <v>444</v>
      </c>
      <c r="B33" t="s">
        <v>445</v>
      </c>
      <c r="C33">
        <v>11</v>
      </c>
    </row>
    <row r="34" spans="1:3" hidden="1">
      <c r="A34" t="s">
        <v>446</v>
      </c>
      <c r="B34" t="s">
        <v>445</v>
      </c>
      <c r="C34">
        <v>10</v>
      </c>
    </row>
    <row r="35" spans="1:3" hidden="1">
      <c r="A35" t="s">
        <v>446</v>
      </c>
      <c r="B35" t="s">
        <v>447</v>
      </c>
      <c r="C35">
        <v>1</v>
      </c>
    </row>
    <row r="36" spans="1:3" hidden="1">
      <c r="A36" t="s">
        <v>448</v>
      </c>
      <c r="B36" t="s">
        <v>441</v>
      </c>
      <c r="C36">
        <v>168</v>
      </c>
    </row>
    <row r="37" spans="1:3" hidden="1">
      <c r="A37" t="s">
        <v>448</v>
      </c>
      <c r="B37" t="s">
        <v>426</v>
      </c>
      <c r="C37">
        <v>566</v>
      </c>
    </row>
    <row r="38" spans="1:3" hidden="1">
      <c r="A38" t="s">
        <v>449</v>
      </c>
      <c r="B38" t="s">
        <v>441</v>
      </c>
      <c r="C38">
        <v>31</v>
      </c>
    </row>
    <row r="39" spans="1:3" hidden="1">
      <c r="A39" t="s">
        <v>449</v>
      </c>
      <c r="B39" t="s">
        <v>426</v>
      </c>
      <c r="C39">
        <v>26</v>
      </c>
    </row>
    <row r="40" spans="1:3" hidden="1">
      <c r="A40" t="s">
        <v>450</v>
      </c>
      <c r="B40" t="s">
        <v>449</v>
      </c>
      <c r="C40">
        <v>1</v>
      </c>
    </row>
    <row r="41" spans="1:3" hidden="1">
      <c r="A41" t="s">
        <v>450</v>
      </c>
      <c r="B41" t="s">
        <v>441</v>
      </c>
      <c r="C41">
        <v>26</v>
      </c>
    </row>
    <row r="42" spans="1:3" hidden="1">
      <c r="A42" t="s">
        <v>450</v>
      </c>
      <c r="B42" t="s">
        <v>426</v>
      </c>
      <c r="C42">
        <v>24</v>
      </c>
    </row>
    <row r="43" spans="1:3" hidden="1">
      <c r="A43" t="s">
        <v>451</v>
      </c>
      <c r="B43" t="s">
        <v>441</v>
      </c>
      <c r="C43">
        <v>1</v>
      </c>
    </row>
    <row r="44" spans="1:3" hidden="1">
      <c r="A44" t="s">
        <v>451</v>
      </c>
      <c r="B44" t="s">
        <v>426</v>
      </c>
      <c r="C44">
        <v>19</v>
      </c>
    </row>
    <row r="45" spans="1:3" hidden="1">
      <c r="A45" t="s">
        <v>452</v>
      </c>
      <c r="B45" t="s">
        <v>426</v>
      </c>
      <c r="C45">
        <v>78</v>
      </c>
    </row>
    <row r="46" spans="1:3">
      <c r="A46" t="s">
        <v>384</v>
      </c>
      <c r="B46" t="s">
        <v>383</v>
      </c>
      <c r="C46">
        <v>82</v>
      </c>
    </row>
    <row r="47" spans="1:3">
      <c r="A47" t="s">
        <v>453</v>
      </c>
      <c r="B47" t="s">
        <v>454</v>
      </c>
      <c r="C47">
        <v>82</v>
      </c>
    </row>
    <row r="48" spans="1:3">
      <c r="A48" t="s">
        <v>387</v>
      </c>
      <c r="B48" t="s">
        <v>385</v>
      </c>
      <c r="C48">
        <v>104</v>
      </c>
    </row>
    <row r="49" spans="1:3">
      <c r="A49" t="s">
        <v>455</v>
      </c>
      <c r="B49" t="s">
        <v>456</v>
      </c>
      <c r="C49">
        <v>104</v>
      </c>
    </row>
    <row r="50" spans="1:3" hidden="1">
      <c r="A50" t="s">
        <v>457</v>
      </c>
      <c r="B50" t="s">
        <v>458</v>
      </c>
      <c r="C50">
        <v>20</v>
      </c>
    </row>
    <row r="51" spans="1:3" hidden="1">
      <c r="A51" t="s">
        <v>457</v>
      </c>
      <c r="B51" t="s">
        <v>426</v>
      </c>
      <c r="C51">
        <v>44</v>
      </c>
    </row>
    <row r="52" spans="1:3" hidden="1">
      <c r="A52" t="s">
        <v>458</v>
      </c>
      <c r="B52" t="s">
        <v>459</v>
      </c>
      <c r="C52">
        <v>28</v>
      </c>
    </row>
    <row r="53" spans="1:3" hidden="1">
      <c r="A53" t="s">
        <v>458</v>
      </c>
      <c r="B53" t="s">
        <v>441</v>
      </c>
      <c r="C53">
        <v>5</v>
      </c>
    </row>
    <row r="54" spans="1:3" hidden="1">
      <c r="A54" t="s">
        <v>458</v>
      </c>
      <c r="B54" t="s">
        <v>426</v>
      </c>
      <c r="C54">
        <v>347</v>
      </c>
    </row>
    <row r="55" spans="1:3" hidden="1">
      <c r="A55" t="s">
        <v>460</v>
      </c>
      <c r="B55" t="s">
        <v>441</v>
      </c>
      <c r="C55">
        <v>3</v>
      </c>
    </row>
    <row r="56" spans="1:3" hidden="1">
      <c r="A56" t="s">
        <v>460</v>
      </c>
      <c r="B56" t="s">
        <v>426</v>
      </c>
      <c r="C56">
        <v>4</v>
      </c>
    </row>
    <row r="57" spans="1:3" hidden="1">
      <c r="A57" t="s">
        <v>461</v>
      </c>
      <c r="B57" t="s">
        <v>441</v>
      </c>
      <c r="C57">
        <v>3</v>
      </c>
    </row>
    <row r="58" spans="1:3" hidden="1">
      <c r="A58" t="s">
        <v>461</v>
      </c>
      <c r="B58" t="s">
        <v>426</v>
      </c>
      <c r="C58">
        <v>4</v>
      </c>
    </row>
    <row r="59" spans="1:3" hidden="1">
      <c r="A59" t="s">
        <v>462</v>
      </c>
      <c r="B59" t="s">
        <v>441</v>
      </c>
      <c r="C59">
        <v>40</v>
      </c>
    </row>
    <row r="60" spans="1:3" hidden="1">
      <c r="A60" t="s">
        <v>462</v>
      </c>
      <c r="B60" t="s">
        <v>426</v>
      </c>
      <c r="C60">
        <v>41</v>
      </c>
    </row>
    <row r="61" spans="1:3" hidden="1">
      <c r="A61" t="s">
        <v>463</v>
      </c>
      <c r="B61" t="s">
        <v>441</v>
      </c>
      <c r="C61">
        <v>40</v>
      </c>
    </row>
    <row r="62" spans="1:3" hidden="1">
      <c r="A62" t="s">
        <v>463</v>
      </c>
      <c r="B62" t="s">
        <v>426</v>
      </c>
      <c r="C62">
        <v>32</v>
      </c>
    </row>
    <row r="63" spans="1:3">
      <c r="A63" t="s">
        <v>388</v>
      </c>
      <c r="B63" t="s">
        <v>440</v>
      </c>
      <c r="C63">
        <v>3</v>
      </c>
    </row>
    <row r="64" spans="1:3" hidden="1">
      <c r="A64" t="s">
        <v>388</v>
      </c>
      <c r="B64" t="s">
        <v>441</v>
      </c>
      <c r="C64">
        <v>25</v>
      </c>
    </row>
    <row r="65" spans="1:3" hidden="1">
      <c r="A65" t="s">
        <v>388</v>
      </c>
      <c r="B65" t="s">
        <v>426</v>
      </c>
      <c r="C65">
        <v>21</v>
      </c>
    </row>
    <row r="66" spans="1:3">
      <c r="A66" t="s">
        <v>464</v>
      </c>
      <c r="B66" t="s">
        <v>388</v>
      </c>
      <c r="C66">
        <v>1</v>
      </c>
    </row>
    <row r="67" spans="1:3">
      <c r="A67" t="s">
        <v>464</v>
      </c>
      <c r="B67" t="s">
        <v>440</v>
      </c>
      <c r="C67">
        <v>3</v>
      </c>
    </row>
    <row r="68" spans="1:3" hidden="1">
      <c r="A68" t="s">
        <v>464</v>
      </c>
      <c r="B68" t="s">
        <v>441</v>
      </c>
      <c r="C68">
        <v>25</v>
      </c>
    </row>
    <row r="69" spans="1:3" hidden="1">
      <c r="A69" t="s">
        <v>464</v>
      </c>
      <c r="B69" t="s">
        <v>426</v>
      </c>
      <c r="C69">
        <v>14</v>
      </c>
    </row>
    <row r="70" spans="1:3">
      <c r="A70" t="s">
        <v>445</v>
      </c>
      <c r="B70" t="s">
        <v>449</v>
      </c>
      <c r="C70">
        <v>1</v>
      </c>
    </row>
    <row r="71" spans="1:3">
      <c r="A71" t="s">
        <v>445</v>
      </c>
      <c r="B71" t="s">
        <v>465</v>
      </c>
      <c r="C71">
        <v>1</v>
      </c>
    </row>
    <row r="72" spans="1:3">
      <c r="A72" t="s">
        <v>445</v>
      </c>
      <c r="B72" t="s">
        <v>466</v>
      </c>
      <c r="C72">
        <v>1</v>
      </c>
    </row>
    <row r="73" spans="1:3">
      <c r="A73" t="s">
        <v>445</v>
      </c>
      <c r="B73" t="s">
        <v>440</v>
      </c>
      <c r="C73">
        <v>3</v>
      </c>
    </row>
    <row r="74" spans="1:3" hidden="1">
      <c r="A74" t="s">
        <v>445</v>
      </c>
      <c r="B74" t="s">
        <v>441</v>
      </c>
      <c r="C74">
        <v>88</v>
      </c>
    </row>
    <row r="75" spans="1:3" hidden="1">
      <c r="A75" t="s">
        <v>445</v>
      </c>
      <c r="B75" t="s">
        <v>426</v>
      </c>
      <c r="C75">
        <v>148</v>
      </c>
    </row>
    <row r="76" spans="1:3">
      <c r="A76" t="s">
        <v>445</v>
      </c>
      <c r="B76" t="s">
        <v>467</v>
      </c>
      <c r="C76">
        <v>1</v>
      </c>
    </row>
    <row r="77" spans="1:3">
      <c r="A77" t="s">
        <v>447</v>
      </c>
      <c r="B77" t="s">
        <v>449</v>
      </c>
      <c r="C77">
        <v>1</v>
      </c>
    </row>
    <row r="78" spans="1:3">
      <c r="A78" t="s">
        <v>447</v>
      </c>
      <c r="B78" t="s">
        <v>445</v>
      </c>
      <c r="C78">
        <v>4</v>
      </c>
    </row>
    <row r="79" spans="1:3">
      <c r="A79" t="s">
        <v>447</v>
      </c>
      <c r="B79" t="s">
        <v>468</v>
      </c>
      <c r="C79">
        <v>1</v>
      </c>
    </row>
    <row r="80" spans="1:3">
      <c r="A80" t="s">
        <v>447</v>
      </c>
      <c r="B80" t="s">
        <v>466</v>
      </c>
      <c r="C80">
        <v>1</v>
      </c>
    </row>
    <row r="81" spans="1:3">
      <c r="A81" t="s">
        <v>447</v>
      </c>
      <c r="B81" t="s">
        <v>440</v>
      </c>
      <c r="C81">
        <v>3</v>
      </c>
    </row>
    <row r="82" spans="1:3" hidden="1">
      <c r="A82" t="s">
        <v>447</v>
      </c>
      <c r="B82" t="s">
        <v>441</v>
      </c>
      <c r="C82">
        <v>83</v>
      </c>
    </row>
    <row r="83" spans="1:3" hidden="1">
      <c r="A83" t="s">
        <v>447</v>
      </c>
      <c r="B83" t="s">
        <v>426</v>
      </c>
      <c r="C83">
        <v>52</v>
      </c>
    </row>
    <row r="84" spans="1:3">
      <c r="A84" t="s">
        <v>447</v>
      </c>
      <c r="B84" t="s">
        <v>467</v>
      </c>
      <c r="C84">
        <v>1</v>
      </c>
    </row>
    <row r="85" spans="1:3" hidden="1">
      <c r="A85" t="s">
        <v>389</v>
      </c>
      <c r="B85" t="s">
        <v>441</v>
      </c>
      <c r="C85">
        <v>11</v>
      </c>
    </row>
    <row r="86" spans="1:3" hidden="1">
      <c r="A86" t="s">
        <v>389</v>
      </c>
      <c r="B86" t="s">
        <v>426</v>
      </c>
      <c r="C86">
        <v>28</v>
      </c>
    </row>
    <row r="87" spans="1:3">
      <c r="A87" t="s">
        <v>469</v>
      </c>
      <c r="B87" t="s">
        <v>389</v>
      </c>
      <c r="C87">
        <v>18</v>
      </c>
    </row>
    <row r="88" spans="1:3" hidden="1">
      <c r="A88" t="s">
        <v>469</v>
      </c>
      <c r="B88" t="s">
        <v>426</v>
      </c>
      <c r="C88">
        <v>6</v>
      </c>
    </row>
    <row r="89" spans="1:3" hidden="1">
      <c r="A89" t="s">
        <v>470</v>
      </c>
      <c r="B89" t="s">
        <v>441</v>
      </c>
      <c r="C89">
        <v>95</v>
      </c>
    </row>
    <row r="90" spans="1:3" hidden="1">
      <c r="A90" t="s">
        <v>470</v>
      </c>
      <c r="B90" t="s">
        <v>426</v>
      </c>
      <c r="C90">
        <v>186</v>
      </c>
    </row>
    <row r="91" spans="1:3" hidden="1">
      <c r="A91" t="s">
        <v>471</v>
      </c>
      <c r="B91" t="s">
        <v>472</v>
      </c>
      <c r="C91">
        <v>2</v>
      </c>
    </row>
    <row r="92" spans="1:3" hidden="1">
      <c r="A92" t="s">
        <v>473</v>
      </c>
      <c r="B92" t="s">
        <v>474</v>
      </c>
      <c r="C92">
        <v>2</v>
      </c>
    </row>
    <row r="93" spans="1:3" hidden="1">
      <c r="A93" t="s">
        <v>465</v>
      </c>
      <c r="B93" t="s">
        <v>426</v>
      </c>
      <c r="C93">
        <v>4</v>
      </c>
    </row>
    <row r="94" spans="1:3" hidden="1">
      <c r="A94" t="s">
        <v>468</v>
      </c>
      <c r="B94" t="s">
        <v>426</v>
      </c>
      <c r="C94">
        <v>4</v>
      </c>
    </row>
    <row r="95" spans="1:3" hidden="1">
      <c r="A95" t="s">
        <v>459</v>
      </c>
      <c r="B95" t="s">
        <v>441</v>
      </c>
      <c r="C95">
        <v>11</v>
      </c>
    </row>
    <row r="96" spans="1:3" hidden="1">
      <c r="A96" t="s">
        <v>459</v>
      </c>
      <c r="B96" t="s">
        <v>426</v>
      </c>
      <c r="C96">
        <v>166</v>
      </c>
    </row>
    <row r="97" spans="1:3" hidden="1">
      <c r="A97" t="s">
        <v>475</v>
      </c>
      <c r="B97" t="s">
        <v>441</v>
      </c>
      <c r="C97">
        <v>6</v>
      </c>
    </row>
    <row r="98" spans="1:3" hidden="1">
      <c r="A98" t="s">
        <v>475</v>
      </c>
      <c r="B98" t="s">
        <v>426</v>
      </c>
      <c r="C98">
        <v>4</v>
      </c>
    </row>
    <row r="99" spans="1:3" hidden="1">
      <c r="A99" t="s">
        <v>476</v>
      </c>
      <c r="B99" t="s">
        <v>441</v>
      </c>
      <c r="C99">
        <v>6</v>
      </c>
    </row>
    <row r="100" spans="1:3" hidden="1">
      <c r="A100" t="s">
        <v>476</v>
      </c>
      <c r="B100" t="s">
        <v>426</v>
      </c>
      <c r="C100">
        <v>4</v>
      </c>
    </row>
    <row r="101" spans="1:3">
      <c r="A101" t="s">
        <v>477</v>
      </c>
      <c r="B101" t="s">
        <v>449</v>
      </c>
      <c r="C101">
        <v>1</v>
      </c>
    </row>
    <row r="102" spans="1:3">
      <c r="A102" t="s">
        <v>477</v>
      </c>
      <c r="B102" t="s">
        <v>440</v>
      </c>
      <c r="C102">
        <v>3</v>
      </c>
    </row>
    <row r="103" spans="1:3" hidden="1">
      <c r="A103" t="s">
        <v>477</v>
      </c>
      <c r="B103" t="s">
        <v>441</v>
      </c>
      <c r="C103">
        <v>27</v>
      </c>
    </row>
    <row r="104" spans="1:3" hidden="1">
      <c r="A104" t="s">
        <v>477</v>
      </c>
      <c r="B104" t="s">
        <v>426</v>
      </c>
      <c r="C104">
        <v>23</v>
      </c>
    </row>
    <row r="105" spans="1:3" hidden="1">
      <c r="A105" t="s">
        <v>478</v>
      </c>
      <c r="B105" t="s">
        <v>441</v>
      </c>
      <c r="C105">
        <v>432</v>
      </c>
    </row>
    <row r="106" spans="1:3" hidden="1">
      <c r="A106" t="s">
        <v>478</v>
      </c>
      <c r="B106" t="s">
        <v>426</v>
      </c>
      <c r="C106" s="1">
        <v>24362</v>
      </c>
    </row>
    <row r="107" spans="1:3" hidden="1">
      <c r="A107" t="s">
        <v>478</v>
      </c>
      <c r="B107" t="s">
        <v>479</v>
      </c>
      <c r="C107">
        <v>2</v>
      </c>
    </row>
    <row r="108" spans="1:3">
      <c r="A108" t="s">
        <v>480</v>
      </c>
      <c r="B108" t="s">
        <v>449</v>
      </c>
      <c r="C108">
        <v>1</v>
      </c>
    </row>
    <row r="109" spans="1:3">
      <c r="A109" t="s">
        <v>480</v>
      </c>
      <c r="B109" t="s">
        <v>440</v>
      </c>
      <c r="C109">
        <v>3</v>
      </c>
    </row>
    <row r="110" spans="1:3" hidden="1">
      <c r="A110" t="s">
        <v>480</v>
      </c>
      <c r="B110" t="s">
        <v>441</v>
      </c>
      <c r="C110">
        <v>27</v>
      </c>
    </row>
    <row r="111" spans="1:3" hidden="1">
      <c r="A111" t="s">
        <v>480</v>
      </c>
      <c r="B111" t="s">
        <v>426</v>
      </c>
      <c r="C111">
        <v>15</v>
      </c>
    </row>
    <row r="112" spans="1:3" hidden="1">
      <c r="A112" t="s">
        <v>481</v>
      </c>
      <c r="B112" t="s">
        <v>482</v>
      </c>
      <c r="C112">
        <v>2</v>
      </c>
    </row>
    <row r="113" spans="1:3" hidden="1">
      <c r="A113" t="s">
        <v>483</v>
      </c>
      <c r="B113" t="s">
        <v>484</v>
      </c>
      <c r="C113">
        <v>2</v>
      </c>
    </row>
    <row r="114" spans="1:3" hidden="1">
      <c r="A114" t="s">
        <v>485</v>
      </c>
      <c r="B114" t="s">
        <v>440</v>
      </c>
      <c r="C114">
        <v>3</v>
      </c>
    </row>
    <row r="115" spans="1:3" hidden="1">
      <c r="A115" t="s">
        <v>485</v>
      </c>
      <c r="B115" t="s">
        <v>441</v>
      </c>
      <c r="C115">
        <v>26</v>
      </c>
    </row>
    <row r="116" spans="1:3" hidden="1">
      <c r="A116" t="s">
        <v>485</v>
      </c>
      <c r="B116" t="s">
        <v>426</v>
      </c>
      <c r="C116">
        <v>20</v>
      </c>
    </row>
    <row r="117" spans="1:3" hidden="1">
      <c r="A117" t="s">
        <v>486</v>
      </c>
      <c r="B117" t="s">
        <v>445</v>
      </c>
      <c r="C117">
        <v>2</v>
      </c>
    </row>
    <row r="118" spans="1:3" hidden="1">
      <c r="A118" t="s">
        <v>486</v>
      </c>
      <c r="B118" t="s">
        <v>472</v>
      </c>
      <c r="C118">
        <v>2</v>
      </c>
    </row>
    <row r="119" spans="1:3" hidden="1">
      <c r="A119" t="s">
        <v>486</v>
      </c>
      <c r="B119" t="s">
        <v>465</v>
      </c>
      <c r="C119">
        <v>2</v>
      </c>
    </row>
    <row r="120" spans="1:3" hidden="1">
      <c r="A120" t="s">
        <v>486</v>
      </c>
      <c r="B120" t="s">
        <v>440</v>
      </c>
      <c r="C120">
        <v>3</v>
      </c>
    </row>
    <row r="121" spans="1:3" hidden="1">
      <c r="A121" t="s">
        <v>486</v>
      </c>
      <c r="B121" t="s">
        <v>441</v>
      </c>
      <c r="C121">
        <v>26</v>
      </c>
    </row>
    <row r="122" spans="1:3" hidden="1">
      <c r="A122" t="s">
        <v>486</v>
      </c>
      <c r="B122" t="s">
        <v>426</v>
      </c>
      <c r="C122">
        <v>17</v>
      </c>
    </row>
    <row r="123" spans="1:3" hidden="1">
      <c r="A123" t="s">
        <v>487</v>
      </c>
      <c r="B123" t="s">
        <v>447</v>
      </c>
      <c r="C123">
        <v>2</v>
      </c>
    </row>
    <row r="124" spans="1:3" hidden="1">
      <c r="A124" t="s">
        <v>487</v>
      </c>
      <c r="B124" t="s">
        <v>474</v>
      </c>
      <c r="C124">
        <v>2</v>
      </c>
    </row>
    <row r="125" spans="1:3" hidden="1">
      <c r="A125" t="s">
        <v>487</v>
      </c>
      <c r="B125" t="s">
        <v>468</v>
      </c>
      <c r="C125">
        <v>2</v>
      </c>
    </row>
    <row r="126" spans="1:3" hidden="1">
      <c r="A126" t="s">
        <v>487</v>
      </c>
      <c r="B126" t="s">
        <v>440</v>
      </c>
      <c r="C126">
        <v>3</v>
      </c>
    </row>
    <row r="127" spans="1:3" hidden="1">
      <c r="A127" t="s">
        <v>487</v>
      </c>
      <c r="B127" t="s">
        <v>441</v>
      </c>
      <c r="C127">
        <v>25</v>
      </c>
    </row>
    <row r="128" spans="1:3" hidden="1">
      <c r="A128" t="s">
        <v>487</v>
      </c>
      <c r="B128" t="s">
        <v>426</v>
      </c>
      <c r="C128">
        <v>14</v>
      </c>
    </row>
    <row r="129" spans="1:3" hidden="1">
      <c r="A129" t="s">
        <v>488</v>
      </c>
      <c r="B129" t="s">
        <v>440</v>
      </c>
      <c r="C129">
        <v>3</v>
      </c>
    </row>
    <row r="130" spans="1:3" hidden="1">
      <c r="A130" t="s">
        <v>488</v>
      </c>
      <c r="B130" t="s">
        <v>441</v>
      </c>
      <c r="C130">
        <v>26</v>
      </c>
    </row>
    <row r="131" spans="1:3" hidden="1">
      <c r="A131" t="s">
        <v>488</v>
      </c>
      <c r="B131" t="s">
        <v>426</v>
      </c>
      <c r="C131">
        <v>16</v>
      </c>
    </row>
    <row r="132" spans="1:3" hidden="1">
      <c r="A132" t="s">
        <v>489</v>
      </c>
      <c r="B132" t="s">
        <v>465</v>
      </c>
      <c r="C132">
        <v>1</v>
      </c>
    </row>
    <row r="133" spans="1:3" hidden="1">
      <c r="A133" t="s">
        <v>489</v>
      </c>
      <c r="B133" t="s">
        <v>490</v>
      </c>
      <c r="C133">
        <v>1</v>
      </c>
    </row>
    <row r="134" spans="1:3" hidden="1">
      <c r="A134" t="s">
        <v>489</v>
      </c>
      <c r="B134" t="s">
        <v>426</v>
      </c>
      <c r="C134">
        <v>1</v>
      </c>
    </row>
    <row r="135" spans="1:3" hidden="1">
      <c r="A135" t="s">
        <v>491</v>
      </c>
      <c r="B135" t="s">
        <v>468</v>
      </c>
      <c r="C135">
        <v>1</v>
      </c>
    </row>
    <row r="136" spans="1:3" hidden="1">
      <c r="A136" t="s">
        <v>491</v>
      </c>
      <c r="B136" t="s">
        <v>492</v>
      </c>
      <c r="C136">
        <v>1</v>
      </c>
    </row>
    <row r="137" spans="1:3" hidden="1">
      <c r="A137" t="s">
        <v>491</v>
      </c>
      <c r="B137" t="s">
        <v>426</v>
      </c>
      <c r="C137">
        <v>1</v>
      </c>
    </row>
    <row r="138" spans="1:3" hidden="1">
      <c r="A138" t="s">
        <v>493</v>
      </c>
      <c r="B138" t="s">
        <v>426</v>
      </c>
      <c r="C138">
        <v>2</v>
      </c>
    </row>
    <row r="139" spans="1:3" hidden="1">
      <c r="A139" t="s">
        <v>494</v>
      </c>
      <c r="B139" t="s">
        <v>426</v>
      </c>
      <c r="C139">
        <v>2</v>
      </c>
    </row>
    <row r="140" spans="1:3" hidden="1">
      <c r="A140" t="s">
        <v>495</v>
      </c>
      <c r="B140" t="s">
        <v>426</v>
      </c>
      <c r="C140">
        <v>29</v>
      </c>
    </row>
    <row r="141" spans="1:3" hidden="1">
      <c r="A141" t="s">
        <v>496</v>
      </c>
      <c r="B141" t="s">
        <v>426</v>
      </c>
      <c r="C141">
        <v>20</v>
      </c>
    </row>
    <row r="142" spans="1:3" hidden="1">
      <c r="A142" t="s">
        <v>376</v>
      </c>
      <c r="B142" t="s">
        <v>466</v>
      </c>
      <c r="C142">
        <v>1</v>
      </c>
    </row>
    <row r="143" spans="1:3" hidden="1">
      <c r="A143" t="s">
        <v>376</v>
      </c>
      <c r="B143" t="s">
        <v>441</v>
      </c>
      <c r="C143">
        <v>7</v>
      </c>
    </row>
    <row r="144" spans="1:3" hidden="1">
      <c r="A144" t="s">
        <v>376</v>
      </c>
      <c r="B144" t="s">
        <v>497</v>
      </c>
      <c r="C144">
        <v>1</v>
      </c>
    </row>
    <row r="145" spans="1:3" hidden="1">
      <c r="A145" t="s">
        <v>376</v>
      </c>
      <c r="B145" t="s">
        <v>426</v>
      </c>
      <c r="C145">
        <v>8</v>
      </c>
    </row>
    <row r="146" spans="1:3" hidden="1">
      <c r="A146" t="s">
        <v>377</v>
      </c>
      <c r="B146" t="s">
        <v>466</v>
      </c>
      <c r="C146">
        <v>1</v>
      </c>
    </row>
    <row r="147" spans="1:3" hidden="1">
      <c r="A147" t="s">
        <v>377</v>
      </c>
      <c r="B147" t="s">
        <v>441</v>
      </c>
      <c r="C147">
        <v>7</v>
      </c>
    </row>
    <row r="148" spans="1:3" hidden="1">
      <c r="A148" t="s">
        <v>377</v>
      </c>
      <c r="B148" t="s">
        <v>497</v>
      </c>
      <c r="C148">
        <v>1</v>
      </c>
    </row>
    <row r="149" spans="1:3" hidden="1">
      <c r="A149" t="s">
        <v>377</v>
      </c>
      <c r="B149" t="s">
        <v>426</v>
      </c>
      <c r="C149">
        <v>8</v>
      </c>
    </row>
    <row r="150" spans="1:3" hidden="1">
      <c r="A150" t="s">
        <v>498</v>
      </c>
      <c r="B150" t="s">
        <v>426</v>
      </c>
      <c r="C150">
        <v>27</v>
      </c>
    </row>
    <row r="151" spans="1:3" hidden="1">
      <c r="A151" t="s">
        <v>499</v>
      </c>
      <c r="B151" t="s">
        <v>500</v>
      </c>
      <c r="C151">
        <v>1</v>
      </c>
    </row>
    <row r="152" spans="1:3" hidden="1">
      <c r="A152" t="s">
        <v>499</v>
      </c>
      <c r="B152" t="s">
        <v>426</v>
      </c>
      <c r="C152">
        <v>23</v>
      </c>
    </row>
    <row r="153" spans="1:3" hidden="1">
      <c r="A153" t="s">
        <v>501</v>
      </c>
      <c r="B153" t="s">
        <v>500</v>
      </c>
      <c r="C153">
        <v>17</v>
      </c>
    </row>
    <row r="154" spans="1:3" hidden="1">
      <c r="A154" t="s">
        <v>501</v>
      </c>
      <c r="B154" t="s">
        <v>441</v>
      </c>
      <c r="C154">
        <v>3</v>
      </c>
    </row>
    <row r="155" spans="1:3" hidden="1">
      <c r="A155" t="s">
        <v>501</v>
      </c>
      <c r="B155" t="s">
        <v>426</v>
      </c>
      <c r="C155">
        <v>13</v>
      </c>
    </row>
    <row r="156" spans="1:3" hidden="1">
      <c r="A156" t="s">
        <v>500</v>
      </c>
      <c r="B156" t="s">
        <v>499</v>
      </c>
      <c r="C156">
        <v>124</v>
      </c>
    </row>
    <row r="157" spans="1:3" hidden="1">
      <c r="A157" t="s">
        <v>500</v>
      </c>
      <c r="B157" t="s">
        <v>441</v>
      </c>
      <c r="C157">
        <v>30</v>
      </c>
    </row>
    <row r="158" spans="1:3" hidden="1">
      <c r="A158" t="s">
        <v>500</v>
      </c>
      <c r="B158" t="s">
        <v>426</v>
      </c>
      <c r="C158">
        <v>577</v>
      </c>
    </row>
    <row r="159" spans="1:3" hidden="1">
      <c r="A159" t="s">
        <v>500</v>
      </c>
      <c r="B159" t="s">
        <v>479</v>
      </c>
      <c r="C159">
        <v>353</v>
      </c>
    </row>
    <row r="160" spans="1:3" hidden="1">
      <c r="A160" t="s">
        <v>502</v>
      </c>
      <c r="B160" t="s">
        <v>426</v>
      </c>
      <c r="C160">
        <v>2</v>
      </c>
    </row>
    <row r="161" spans="1:3" hidden="1">
      <c r="A161" t="s">
        <v>466</v>
      </c>
      <c r="B161" t="s">
        <v>449</v>
      </c>
      <c r="C161">
        <v>2</v>
      </c>
    </row>
    <row r="162" spans="1:3" hidden="1">
      <c r="A162" t="s">
        <v>466</v>
      </c>
      <c r="B162" t="s">
        <v>441</v>
      </c>
      <c r="C162">
        <v>50</v>
      </c>
    </row>
    <row r="163" spans="1:3" hidden="1">
      <c r="A163" t="s">
        <v>466</v>
      </c>
      <c r="B163" t="s">
        <v>426</v>
      </c>
      <c r="C163">
        <v>29</v>
      </c>
    </row>
    <row r="164" spans="1:3" hidden="1">
      <c r="A164" t="s">
        <v>503</v>
      </c>
      <c r="B164" t="s">
        <v>449</v>
      </c>
      <c r="C164">
        <v>1</v>
      </c>
    </row>
    <row r="165" spans="1:3" hidden="1">
      <c r="A165" t="s">
        <v>503</v>
      </c>
      <c r="B165" t="s">
        <v>466</v>
      </c>
      <c r="C165">
        <v>2</v>
      </c>
    </row>
    <row r="166" spans="1:3" hidden="1">
      <c r="A166" t="s">
        <v>503</v>
      </c>
      <c r="B166" t="s">
        <v>441</v>
      </c>
      <c r="C166">
        <v>33</v>
      </c>
    </row>
    <row r="167" spans="1:3" hidden="1">
      <c r="A167" t="s">
        <v>503</v>
      </c>
      <c r="B167" t="s">
        <v>426</v>
      </c>
      <c r="C167">
        <v>16</v>
      </c>
    </row>
    <row r="168" spans="1:3" hidden="1">
      <c r="A168" t="s">
        <v>504</v>
      </c>
      <c r="B168" t="s">
        <v>505</v>
      </c>
      <c r="C168">
        <v>5</v>
      </c>
    </row>
    <row r="169" spans="1:3" hidden="1">
      <c r="A169" t="s">
        <v>506</v>
      </c>
      <c r="B169" t="s">
        <v>507</v>
      </c>
      <c r="C169">
        <v>5</v>
      </c>
    </row>
    <row r="170" spans="1:3" hidden="1">
      <c r="A170" t="s">
        <v>508</v>
      </c>
      <c r="B170" t="s">
        <v>426</v>
      </c>
      <c r="C170">
        <v>4</v>
      </c>
    </row>
    <row r="171" spans="1:3" hidden="1">
      <c r="A171" t="s">
        <v>440</v>
      </c>
      <c r="B171" t="s">
        <v>441</v>
      </c>
      <c r="C171">
        <v>19</v>
      </c>
    </row>
    <row r="172" spans="1:3" hidden="1">
      <c r="A172" t="s">
        <v>440</v>
      </c>
      <c r="B172" t="s">
        <v>426</v>
      </c>
      <c r="C172">
        <v>15</v>
      </c>
    </row>
    <row r="173" spans="1:3" hidden="1">
      <c r="A173" t="s">
        <v>509</v>
      </c>
      <c r="B173" t="s">
        <v>441</v>
      </c>
      <c r="C173">
        <v>18</v>
      </c>
    </row>
    <row r="174" spans="1:3" hidden="1">
      <c r="A174" t="s">
        <v>509</v>
      </c>
      <c r="B174" t="s">
        <v>426</v>
      </c>
      <c r="C174">
        <v>12</v>
      </c>
    </row>
    <row r="175" spans="1:3" hidden="1">
      <c r="A175" t="s">
        <v>510</v>
      </c>
      <c r="B175" t="s">
        <v>441</v>
      </c>
      <c r="C175">
        <v>6</v>
      </c>
    </row>
    <row r="176" spans="1:3" hidden="1">
      <c r="A176" t="s">
        <v>510</v>
      </c>
      <c r="B176" t="s">
        <v>426</v>
      </c>
      <c r="C176">
        <v>6</v>
      </c>
    </row>
    <row r="177" spans="1:3" hidden="1">
      <c r="A177" t="s">
        <v>511</v>
      </c>
      <c r="B177" t="s">
        <v>510</v>
      </c>
      <c r="C177">
        <v>1</v>
      </c>
    </row>
    <row r="178" spans="1:3" hidden="1">
      <c r="A178" t="s">
        <v>511</v>
      </c>
      <c r="B178" t="s">
        <v>441</v>
      </c>
      <c r="C178">
        <v>6</v>
      </c>
    </row>
    <row r="179" spans="1:3" hidden="1">
      <c r="A179" t="s">
        <v>511</v>
      </c>
      <c r="B179" t="s">
        <v>426</v>
      </c>
      <c r="C179">
        <v>5</v>
      </c>
    </row>
    <row r="180" spans="1:3" hidden="1">
      <c r="A180" t="s">
        <v>490</v>
      </c>
      <c r="B180" t="s">
        <v>465</v>
      </c>
      <c r="C180">
        <v>2</v>
      </c>
    </row>
    <row r="181" spans="1:3" hidden="1">
      <c r="A181" t="s">
        <v>490</v>
      </c>
      <c r="B181" t="s">
        <v>441</v>
      </c>
      <c r="C181">
        <v>2</v>
      </c>
    </row>
    <row r="182" spans="1:3" hidden="1">
      <c r="A182" t="s">
        <v>490</v>
      </c>
      <c r="B182" t="s">
        <v>426</v>
      </c>
      <c r="C182">
        <v>2</v>
      </c>
    </row>
    <row r="183" spans="1:3" hidden="1">
      <c r="A183" t="s">
        <v>492</v>
      </c>
      <c r="B183" t="s">
        <v>468</v>
      </c>
      <c r="C183">
        <v>2</v>
      </c>
    </row>
    <row r="184" spans="1:3" hidden="1">
      <c r="A184" t="s">
        <v>492</v>
      </c>
      <c r="B184" t="s">
        <v>441</v>
      </c>
      <c r="C184">
        <v>2</v>
      </c>
    </row>
    <row r="185" spans="1:3" hidden="1">
      <c r="A185" t="s">
        <v>492</v>
      </c>
      <c r="B185" t="s">
        <v>426</v>
      </c>
      <c r="C185">
        <v>2</v>
      </c>
    </row>
    <row r="186" spans="1:3" hidden="1">
      <c r="A186" t="s">
        <v>512</v>
      </c>
      <c r="B186" t="s">
        <v>439</v>
      </c>
      <c r="C186">
        <v>2</v>
      </c>
    </row>
    <row r="187" spans="1:3" hidden="1">
      <c r="A187" t="s">
        <v>512</v>
      </c>
      <c r="B187" t="s">
        <v>440</v>
      </c>
      <c r="C187">
        <v>3</v>
      </c>
    </row>
    <row r="188" spans="1:3" hidden="1">
      <c r="A188" t="s">
        <v>512</v>
      </c>
      <c r="B188" t="s">
        <v>441</v>
      </c>
      <c r="C188">
        <v>25</v>
      </c>
    </row>
    <row r="189" spans="1:3" hidden="1">
      <c r="A189" t="s">
        <v>512</v>
      </c>
      <c r="B189" t="s">
        <v>426</v>
      </c>
      <c r="C189">
        <v>23</v>
      </c>
    </row>
    <row r="190" spans="1:3" hidden="1">
      <c r="A190" t="s">
        <v>513</v>
      </c>
      <c r="B190" t="s">
        <v>512</v>
      </c>
      <c r="C190">
        <v>27</v>
      </c>
    </row>
    <row r="191" spans="1:3" hidden="1">
      <c r="A191" t="s">
        <v>514</v>
      </c>
      <c r="B191" t="s">
        <v>515</v>
      </c>
      <c r="C191">
        <v>27</v>
      </c>
    </row>
    <row r="192" spans="1:3" hidden="1">
      <c r="A192" t="s">
        <v>515</v>
      </c>
      <c r="B192" t="s">
        <v>442</v>
      </c>
      <c r="C192">
        <v>2</v>
      </c>
    </row>
    <row r="193" spans="1:3" hidden="1">
      <c r="A193" t="s">
        <v>515</v>
      </c>
      <c r="B193" t="s">
        <v>440</v>
      </c>
      <c r="C193">
        <v>3</v>
      </c>
    </row>
    <row r="194" spans="1:3" hidden="1">
      <c r="A194" t="s">
        <v>515</v>
      </c>
      <c r="B194" t="s">
        <v>441</v>
      </c>
      <c r="C194">
        <v>25</v>
      </c>
    </row>
    <row r="195" spans="1:3" hidden="1">
      <c r="A195" t="s">
        <v>515</v>
      </c>
      <c r="B195" t="s">
        <v>426</v>
      </c>
      <c r="C195">
        <v>19</v>
      </c>
    </row>
    <row r="196" spans="1:3" hidden="1">
      <c r="A196" t="s">
        <v>441</v>
      </c>
      <c r="B196" t="s">
        <v>425</v>
      </c>
      <c r="C196">
        <v>4</v>
      </c>
    </row>
    <row r="197" spans="1:3" hidden="1">
      <c r="A197" t="s">
        <v>441</v>
      </c>
      <c r="B197" t="s">
        <v>443</v>
      </c>
      <c r="C197">
        <v>5</v>
      </c>
    </row>
    <row r="198" spans="1:3" hidden="1">
      <c r="A198" t="s">
        <v>441</v>
      </c>
      <c r="B198" t="s">
        <v>444</v>
      </c>
      <c r="C198">
        <v>2</v>
      </c>
    </row>
    <row r="199" spans="1:3" hidden="1">
      <c r="A199" t="s">
        <v>441</v>
      </c>
      <c r="B199" t="s">
        <v>448</v>
      </c>
      <c r="C199">
        <v>67</v>
      </c>
    </row>
    <row r="200" spans="1:3" hidden="1">
      <c r="A200" t="s">
        <v>441</v>
      </c>
      <c r="B200" t="s">
        <v>458</v>
      </c>
      <c r="C200">
        <v>71</v>
      </c>
    </row>
    <row r="201" spans="1:3" hidden="1">
      <c r="A201" t="s">
        <v>441</v>
      </c>
      <c r="B201" t="s">
        <v>460</v>
      </c>
      <c r="C201">
        <v>9</v>
      </c>
    </row>
    <row r="202" spans="1:3" hidden="1">
      <c r="A202" t="s">
        <v>441</v>
      </c>
      <c r="B202" t="s">
        <v>388</v>
      </c>
      <c r="C202">
        <v>42</v>
      </c>
    </row>
    <row r="203" spans="1:3" hidden="1">
      <c r="A203" t="s">
        <v>441</v>
      </c>
      <c r="B203" t="s">
        <v>445</v>
      </c>
      <c r="C203">
        <v>111</v>
      </c>
    </row>
    <row r="204" spans="1:3" hidden="1">
      <c r="A204" t="s">
        <v>441</v>
      </c>
      <c r="B204" t="s">
        <v>389</v>
      </c>
      <c r="C204">
        <v>46</v>
      </c>
    </row>
    <row r="205" spans="1:3" hidden="1">
      <c r="A205" t="s">
        <v>441</v>
      </c>
      <c r="B205" t="s">
        <v>470</v>
      </c>
      <c r="C205">
        <v>7</v>
      </c>
    </row>
    <row r="206" spans="1:3" hidden="1">
      <c r="A206" t="s">
        <v>441</v>
      </c>
      <c r="B206" t="s">
        <v>516</v>
      </c>
      <c r="C206">
        <v>4</v>
      </c>
    </row>
    <row r="207" spans="1:3" hidden="1">
      <c r="A207" t="s">
        <v>441</v>
      </c>
      <c r="B207" t="s">
        <v>459</v>
      </c>
      <c r="C207">
        <v>122</v>
      </c>
    </row>
    <row r="208" spans="1:3" hidden="1">
      <c r="A208" t="s">
        <v>441</v>
      </c>
      <c r="B208" t="s">
        <v>478</v>
      </c>
      <c r="C208" s="1">
        <v>2867</v>
      </c>
    </row>
    <row r="209" spans="1:3" hidden="1">
      <c r="A209" t="s">
        <v>441</v>
      </c>
      <c r="B209" t="s">
        <v>496</v>
      </c>
      <c r="C209">
        <v>18</v>
      </c>
    </row>
    <row r="210" spans="1:3" hidden="1">
      <c r="A210" t="s">
        <v>441</v>
      </c>
      <c r="B210" t="s">
        <v>499</v>
      </c>
      <c r="C210">
        <v>6</v>
      </c>
    </row>
    <row r="211" spans="1:3" hidden="1">
      <c r="A211" t="s">
        <v>441</v>
      </c>
      <c r="B211" t="s">
        <v>500</v>
      </c>
      <c r="C211">
        <v>60</v>
      </c>
    </row>
    <row r="212" spans="1:3" hidden="1">
      <c r="A212" t="s">
        <v>441</v>
      </c>
      <c r="B212" t="s">
        <v>440</v>
      </c>
      <c r="C212">
        <v>5</v>
      </c>
    </row>
    <row r="213" spans="1:3" hidden="1">
      <c r="A213" t="s">
        <v>441</v>
      </c>
      <c r="B213" t="s">
        <v>517</v>
      </c>
      <c r="C213">
        <v>5</v>
      </c>
    </row>
    <row r="214" spans="1:3" hidden="1">
      <c r="A214" t="s">
        <v>441</v>
      </c>
      <c r="B214" t="s">
        <v>497</v>
      </c>
      <c r="C214">
        <v>5</v>
      </c>
    </row>
    <row r="215" spans="1:3" hidden="1">
      <c r="A215" t="s">
        <v>441</v>
      </c>
      <c r="B215" t="s">
        <v>518</v>
      </c>
      <c r="C215">
        <v>128</v>
      </c>
    </row>
    <row r="216" spans="1:3" hidden="1">
      <c r="A216" t="s">
        <v>441</v>
      </c>
      <c r="B216" t="s">
        <v>426</v>
      </c>
      <c r="C216" s="1">
        <v>8498</v>
      </c>
    </row>
    <row r="217" spans="1:3" hidden="1">
      <c r="A217" t="s">
        <v>441</v>
      </c>
      <c r="B217" t="s">
        <v>519</v>
      </c>
      <c r="C217">
        <v>5</v>
      </c>
    </row>
    <row r="218" spans="1:3" hidden="1">
      <c r="A218" t="s">
        <v>441</v>
      </c>
      <c r="B218" t="s">
        <v>520</v>
      </c>
      <c r="C218">
        <v>7</v>
      </c>
    </row>
    <row r="219" spans="1:3" hidden="1">
      <c r="A219" t="s">
        <v>441</v>
      </c>
      <c r="B219" t="s">
        <v>467</v>
      </c>
      <c r="C219">
        <v>1</v>
      </c>
    </row>
    <row r="220" spans="1:3" hidden="1">
      <c r="A220" t="s">
        <v>441</v>
      </c>
      <c r="B220" t="s">
        <v>521</v>
      </c>
      <c r="C220">
        <v>1</v>
      </c>
    </row>
    <row r="221" spans="1:3" hidden="1">
      <c r="A221" t="s">
        <v>441</v>
      </c>
      <c r="B221" t="s">
        <v>522</v>
      </c>
      <c r="C221">
        <v>70</v>
      </c>
    </row>
    <row r="222" spans="1:3" hidden="1">
      <c r="A222" t="s">
        <v>441</v>
      </c>
      <c r="B222" t="s">
        <v>479</v>
      </c>
      <c r="C222">
        <v>54</v>
      </c>
    </row>
    <row r="223" spans="1:3" hidden="1">
      <c r="A223" t="s">
        <v>523</v>
      </c>
      <c r="B223" t="s">
        <v>524</v>
      </c>
      <c r="C223">
        <v>14</v>
      </c>
    </row>
    <row r="224" spans="1:3" hidden="1">
      <c r="A224" t="s">
        <v>525</v>
      </c>
      <c r="B224" t="s">
        <v>526</v>
      </c>
      <c r="C224">
        <v>14</v>
      </c>
    </row>
    <row r="225" spans="1:3" hidden="1">
      <c r="A225" t="s">
        <v>527</v>
      </c>
      <c r="B225" t="s">
        <v>441</v>
      </c>
      <c r="C225">
        <v>1</v>
      </c>
    </row>
    <row r="226" spans="1:3" hidden="1">
      <c r="A226" t="s">
        <v>527</v>
      </c>
      <c r="B226" t="s">
        <v>426</v>
      </c>
      <c r="C226">
        <v>2</v>
      </c>
    </row>
    <row r="227" spans="1:3" hidden="1">
      <c r="A227" t="s">
        <v>528</v>
      </c>
      <c r="B227" t="s">
        <v>441</v>
      </c>
      <c r="C227">
        <v>1</v>
      </c>
    </row>
    <row r="228" spans="1:3" hidden="1">
      <c r="A228" t="s">
        <v>528</v>
      </c>
      <c r="B228" t="s">
        <v>426</v>
      </c>
      <c r="C228">
        <v>2</v>
      </c>
    </row>
    <row r="229" spans="1:3" hidden="1">
      <c r="A229" t="s">
        <v>529</v>
      </c>
      <c r="B229" t="s">
        <v>441</v>
      </c>
      <c r="C229">
        <v>1</v>
      </c>
    </row>
    <row r="230" spans="1:3" hidden="1">
      <c r="A230" t="s">
        <v>529</v>
      </c>
      <c r="B230" t="s">
        <v>426</v>
      </c>
      <c r="C230">
        <v>42</v>
      </c>
    </row>
    <row r="231" spans="1:3" hidden="1">
      <c r="A231" t="s">
        <v>530</v>
      </c>
      <c r="B231" t="s">
        <v>475</v>
      </c>
      <c r="C231">
        <v>4</v>
      </c>
    </row>
    <row r="232" spans="1:3" hidden="1">
      <c r="A232" t="s">
        <v>379</v>
      </c>
      <c r="B232" t="s">
        <v>475</v>
      </c>
      <c r="C232">
        <v>4</v>
      </c>
    </row>
    <row r="233" spans="1:3" hidden="1">
      <c r="A233" t="s">
        <v>379</v>
      </c>
      <c r="B233" t="s">
        <v>441</v>
      </c>
      <c r="C233">
        <v>2</v>
      </c>
    </row>
    <row r="234" spans="1:3" hidden="1">
      <c r="A234" t="s">
        <v>531</v>
      </c>
      <c r="B234" t="s">
        <v>475</v>
      </c>
      <c r="C234">
        <v>4</v>
      </c>
    </row>
    <row r="235" spans="1:3" hidden="1">
      <c r="A235" t="s">
        <v>517</v>
      </c>
      <c r="B235" t="s">
        <v>441</v>
      </c>
      <c r="C235">
        <v>20</v>
      </c>
    </row>
    <row r="236" spans="1:3" hidden="1">
      <c r="A236" t="s">
        <v>517</v>
      </c>
      <c r="B236" t="s">
        <v>426</v>
      </c>
      <c r="C236">
        <v>45</v>
      </c>
    </row>
    <row r="237" spans="1:3">
      <c r="A237" t="s">
        <v>360</v>
      </c>
      <c r="B237" t="s">
        <v>449</v>
      </c>
      <c r="C237">
        <v>1</v>
      </c>
    </row>
    <row r="238" spans="1:3">
      <c r="A238" t="s">
        <v>360</v>
      </c>
      <c r="B238" t="s">
        <v>440</v>
      </c>
      <c r="C238">
        <v>3</v>
      </c>
    </row>
    <row r="239" spans="1:3" hidden="1">
      <c r="A239" t="s">
        <v>360</v>
      </c>
      <c r="B239" t="s">
        <v>441</v>
      </c>
      <c r="C239">
        <v>76</v>
      </c>
    </row>
    <row r="240" spans="1:3" hidden="1">
      <c r="A240" t="s">
        <v>360</v>
      </c>
      <c r="B240" t="s">
        <v>426</v>
      </c>
      <c r="C240">
        <v>93</v>
      </c>
    </row>
    <row r="241" spans="1:3">
      <c r="A241" t="s">
        <v>354</v>
      </c>
      <c r="B241" t="s">
        <v>360</v>
      </c>
      <c r="C241">
        <v>71</v>
      </c>
    </row>
    <row r="242" spans="1:3">
      <c r="A242" t="s">
        <v>355</v>
      </c>
      <c r="B242" t="s">
        <v>354</v>
      </c>
      <c r="C242">
        <v>71</v>
      </c>
    </row>
    <row r="243" spans="1:3">
      <c r="A243" t="s">
        <v>497</v>
      </c>
      <c r="B243" t="s">
        <v>440</v>
      </c>
      <c r="C243">
        <v>3</v>
      </c>
    </row>
    <row r="244" spans="1:3" hidden="1">
      <c r="A244" t="s">
        <v>497</v>
      </c>
      <c r="B244" t="s">
        <v>441</v>
      </c>
      <c r="C244">
        <v>28</v>
      </c>
    </row>
    <row r="245" spans="1:3" hidden="1">
      <c r="A245" t="s">
        <v>497</v>
      </c>
      <c r="B245" t="s">
        <v>426</v>
      </c>
      <c r="C245">
        <v>18</v>
      </c>
    </row>
    <row r="246" spans="1:3" hidden="1">
      <c r="A246" t="s">
        <v>532</v>
      </c>
      <c r="B246" t="s">
        <v>500</v>
      </c>
      <c r="C246">
        <v>8</v>
      </c>
    </row>
    <row r="247" spans="1:3" hidden="1">
      <c r="A247" t="s">
        <v>518</v>
      </c>
      <c r="B247" t="s">
        <v>445</v>
      </c>
      <c r="C247">
        <v>141</v>
      </c>
    </row>
    <row r="248" spans="1:3" hidden="1">
      <c r="A248" t="s">
        <v>533</v>
      </c>
      <c r="B248" t="s">
        <v>445</v>
      </c>
      <c r="C248">
        <v>60</v>
      </c>
    </row>
    <row r="249" spans="1:3" hidden="1">
      <c r="A249" t="s">
        <v>533</v>
      </c>
      <c r="B249" t="s">
        <v>441</v>
      </c>
      <c r="C249">
        <v>262</v>
      </c>
    </row>
    <row r="250" spans="1:3" hidden="1">
      <c r="A250" t="s">
        <v>533</v>
      </c>
      <c r="B250" t="s">
        <v>426</v>
      </c>
      <c r="C250">
        <v>206</v>
      </c>
    </row>
    <row r="251" spans="1:3" hidden="1">
      <c r="A251" t="s">
        <v>534</v>
      </c>
      <c r="B251" t="s">
        <v>439</v>
      </c>
      <c r="C251">
        <v>18</v>
      </c>
    </row>
    <row r="252" spans="1:3" hidden="1">
      <c r="A252" t="s">
        <v>534</v>
      </c>
      <c r="B252" t="s">
        <v>477</v>
      </c>
      <c r="C252">
        <v>6</v>
      </c>
    </row>
    <row r="253" spans="1:3" hidden="1">
      <c r="A253" t="s">
        <v>534</v>
      </c>
      <c r="B253" t="s">
        <v>486</v>
      </c>
      <c r="C253">
        <v>57</v>
      </c>
    </row>
    <row r="254" spans="1:3" hidden="1">
      <c r="A254" t="s">
        <v>534</v>
      </c>
      <c r="B254" t="s">
        <v>441</v>
      </c>
      <c r="C254">
        <v>196</v>
      </c>
    </row>
    <row r="255" spans="1:3" hidden="1">
      <c r="A255" t="s">
        <v>534</v>
      </c>
      <c r="B255" t="s">
        <v>360</v>
      </c>
      <c r="C255">
        <v>27</v>
      </c>
    </row>
    <row r="256" spans="1:3" hidden="1">
      <c r="A256" t="s">
        <v>534</v>
      </c>
      <c r="B256" t="s">
        <v>426</v>
      </c>
      <c r="C256">
        <v>200</v>
      </c>
    </row>
    <row r="257" spans="1:3" hidden="1">
      <c r="A257" t="s">
        <v>426</v>
      </c>
      <c r="B257" t="s">
        <v>443</v>
      </c>
      <c r="C257">
        <v>5</v>
      </c>
    </row>
    <row r="258" spans="1:3" hidden="1">
      <c r="A258" t="s">
        <v>426</v>
      </c>
      <c r="B258" t="s">
        <v>448</v>
      </c>
      <c r="C258">
        <v>1</v>
      </c>
    </row>
    <row r="259" spans="1:3" hidden="1">
      <c r="A259" t="s">
        <v>426</v>
      </c>
      <c r="B259" t="s">
        <v>458</v>
      </c>
      <c r="C259">
        <v>2</v>
      </c>
    </row>
    <row r="260" spans="1:3" hidden="1">
      <c r="A260" t="s">
        <v>426</v>
      </c>
      <c r="B260" t="s">
        <v>470</v>
      </c>
      <c r="C260">
        <v>12</v>
      </c>
    </row>
    <row r="261" spans="1:3" hidden="1">
      <c r="A261" t="s">
        <v>426</v>
      </c>
      <c r="B261" t="s">
        <v>459</v>
      </c>
      <c r="C261">
        <v>7</v>
      </c>
    </row>
    <row r="262" spans="1:3" hidden="1">
      <c r="A262" t="s">
        <v>426</v>
      </c>
      <c r="B262" t="s">
        <v>478</v>
      </c>
      <c r="C262">
        <v>1</v>
      </c>
    </row>
    <row r="263" spans="1:3" hidden="1">
      <c r="A263" t="s">
        <v>426</v>
      </c>
      <c r="B263" t="s">
        <v>495</v>
      </c>
      <c r="C263">
        <v>8</v>
      </c>
    </row>
    <row r="264" spans="1:3" hidden="1">
      <c r="A264" t="s">
        <v>426</v>
      </c>
      <c r="B264" t="s">
        <v>499</v>
      </c>
      <c r="C264">
        <v>1</v>
      </c>
    </row>
    <row r="265" spans="1:3" hidden="1">
      <c r="A265" t="s">
        <v>426</v>
      </c>
      <c r="B265" t="s">
        <v>500</v>
      </c>
      <c r="C265">
        <v>3</v>
      </c>
    </row>
    <row r="266" spans="1:3" hidden="1">
      <c r="A266" t="s">
        <v>426</v>
      </c>
      <c r="B266" t="s">
        <v>502</v>
      </c>
      <c r="C266">
        <v>12</v>
      </c>
    </row>
    <row r="267" spans="1:3" hidden="1">
      <c r="A267" t="s">
        <v>426</v>
      </c>
      <c r="B267" t="s">
        <v>441</v>
      </c>
      <c r="C267">
        <v>147</v>
      </c>
    </row>
    <row r="268" spans="1:3" hidden="1">
      <c r="A268" t="s">
        <v>426</v>
      </c>
      <c r="B268" t="s">
        <v>519</v>
      </c>
      <c r="C268">
        <v>320</v>
      </c>
    </row>
    <row r="269" spans="1:3" hidden="1">
      <c r="A269" t="s">
        <v>426</v>
      </c>
      <c r="B269" t="s">
        <v>467</v>
      </c>
      <c r="C269">
        <v>3</v>
      </c>
    </row>
    <row r="270" spans="1:3" hidden="1">
      <c r="A270" t="s">
        <v>426</v>
      </c>
      <c r="B270" t="s">
        <v>522</v>
      </c>
      <c r="C270">
        <v>2</v>
      </c>
    </row>
    <row r="271" spans="1:3" hidden="1">
      <c r="A271" t="s">
        <v>426</v>
      </c>
      <c r="B271" t="s">
        <v>479</v>
      </c>
      <c r="C271">
        <v>194</v>
      </c>
    </row>
    <row r="272" spans="1:3" hidden="1">
      <c r="A272" t="s">
        <v>519</v>
      </c>
      <c r="B272" t="s">
        <v>441</v>
      </c>
      <c r="C272">
        <v>6</v>
      </c>
    </row>
    <row r="273" spans="1:3" hidden="1">
      <c r="A273" t="s">
        <v>519</v>
      </c>
      <c r="B273" t="s">
        <v>426</v>
      </c>
      <c r="C273">
        <v>58</v>
      </c>
    </row>
    <row r="274" spans="1:3" hidden="1">
      <c r="A274" t="s">
        <v>535</v>
      </c>
      <c r="B274" t="s">
        <v>441</v>
      </c>
      <c r="C274">
        <v>3</v>
      </c>
    </row>
    <row r="275" spans="1:3" hidden="1">
      <c r="A275" t="s">
        <v>535</v>
      </c>
      <c r="B275" t="s">
        <v>426</v>
      </c>
      <c r="C275">
        <v>4</v>
      </c>
    </row>
    <row r="276" spans="1:3" hidden="1">
      <c r="A276" t="s">
        <v>467</v>
      </c>
      <c r="B276" t="s">
        <v>441</v>
      </c>
      <c r="C276">
        <v>3</v>
      </c>
    </row>
    <row r="277" spans="1:3" hidden="1">
      <c r="A277" t="s">
        <v>467</v>
      </c>
      <c r="B277" t="s">
        <v>497</v>
      </c>
      <c r="C277">
        <v>1</v>
      </c>
    </row>
    <row r="278" spans="1:3" hidden="1">
      <c r="A278" t="s">
        <v>467</v>
      </c>
      <c r="B278" t="s">
        <v>426</v>
      </c>
      <c r="C278">
        <v>23</v>
      </c>
    </row>
    <row r="279" spans="1:3">
      <c r="A279" t="s">
        <v>536</v>
      </c>
      <c r="B279" t="s">
        <v>439</v>
      </c>
      <c r="C279">
        <v>46</v>
      </c>
    </row>
    <row r="280" spans="1:3">
      <c r="A280" t="s">
        <v>537</v>
      </c>
      <c r="B280" t="s">
        <v>445</v>
      </c>
      <c r="C280">
        <v>227</v>
      </c>
    </row>
    <row r="281" spans="1:3">
      <c r="A281" t="s">
        <v>537</v>
      </c>
      <c r="B281" t="s">
        <v>465</v>
      </c>
      <c r="C281">
        <v>1</v>
      </c>
    </row>
    <row r="282" spans="1:3">
      <c r="A282" t="s">
        <v>538</v>
      </c>
      <c r="B282" t="s">
        <v>527</v>
      </c>
      <c r="C282">
        <v>4</v>
      </c>
    </row>
    <row r="283" spans="1:3">
      <c r="A283" t="s">
        <v>539</v>
      </c>
      <c r="B283" t="s">
        <v>497</v>
      </c>
      <c r="C283">
        <v>24</v>
      </c>
    </row>
    <row r="284" spans="1:3">
      <c r="A284" t="s">
        <v>540</v>
      </c>
      <c r="B284" t="s">
        <v>520</v>
      </c>
      <c r="C284">
        <v>7</v>
      </c>
    </row>
    <row r="285" spans="1:3">
      <c r="A285" t="s">
        <v>391</v>
      </c>
      <c r="B285" t="s">
        <v>384</v>
      </c>
      <c r="C285">
        <v>91</v>
      </c>
    </row>
    <row r="286" spans="1:3">
      <c r="A286" t="s">
        <v>392</v>
      </c>
      <c r="B286" t="s">
        <v>387</v>
      </c>
      <c r="C286">
        <v>113</v>
      </c>
    </row>
    <row r="287" spans="1:3">
      <c r="A287" t="s">
        <v>541</v>
      </c>
      <c r="B287" t="s">
        <v>460</v>
      </c>
      <c r="C287">
        <v>12</v>
      </c>
    </row>
    <row r="288" spans="1:3" hidden="1">
      <c r="A288" t="s">
        <v>542</v>
      </c>
      <c r="B288" t="s">
        <v>482</v>
      </c>
      <c r="C288">
        <v>2</v>
      </c>
    </row>
    <row r="289" spans="1:3">
      <c r="A289" t="s">
        <v>393</v>
      </c>
      <c r="B289" t="s">
        <v>388</v>
      </c>
      <c r="C289">
        <v>76</v>
      </c>
    </row>
    <row r="290" spans="1:3" hidden="1">
      <c r="A290" t="s">
        <v>543</v>
      </c>
      <c r="B290" t="s">
        <v>471</v>
      </c>
      <c r="C290">
        <v>11</v>
      </c>
    </row>
    <row r="291" spans="1:3" hidden="1">
      <c r="A291" t="s">
        <v>544</v>
      </c>
      <c r="B291" t="s">
        <v>545</v>
      </c>
      <c r="C291">
        <v>3</v>
      </c>
    </row>
    <row r="292" spans="1:3" hidden="1">
      <c r="A292" t="s">
        <v>546</v>
      </c>
      <c r="B292" t="s">
        <v>547</v>
      </c>
      <c r="C292">
        <v>7</v>
      </c>
    </row>
    <row r="293" spans="1:3">
      <c r="A293" t="s">
        <v>548</v>
      </c>
      <c r="B293" t="s">
        <v>440</v>
      </c>
      <c r="C293">
        <v>3</v>
      </c>
    </row>
    <row r="294" spans="1:3" hidden="1">
      <c r="A294" t="s">
        <v>548</v>
      </c>
      <c r="B294" t="s">
        <v>441</v>
      </c>
      <c r="C294">
        <v>26</v>
      </c>
    </row>
    <row r="295" spans="1:3" hidden="1">
      <c r="A295" t="s">
        <v>548</v>
      </c>
      <c r="B295" t="s">
        <v>426</v>
      </c>
      <c r="C295">
        <v>16</v>
      </c>
    </row>
    <row r="296" spans="1:3" hidden="1">
      <c r="A296" t="s">
        <v>549</v>
      </c>
      <c r="B296" t="s">
        <v>477</v>
      </c>
      <c r="C296">
        <v>116</v>
      </c>
    </row>
    <row r="297" spans="1:3" hidden="1">
      <c r="A297" t="s">
        <v>550</v>
      </c>
      <c r="B297" t="s">
        <v>485</v>
      </c>
      <c r="C297">
        <v>25</v>
      </c>
    </row>
    <row r="298" spans="1:3" hidden="1">
      <c r="A298" t="s">
        <v>551</v>
      </c>
      <c r="B298" t="s">
        <v>486</v>
      </c>
      <c r="C298">
        <v>175</v>
      </c>
    </row>
    <row r="299" spans="1:3" hidden="1">
      <c r="A299" t="s">
        <v>552</v>
      </c>
      <c r="B299" t="s">
        <v>493</v>
      </c>
      <c r="C299">
        <v>15</v>
      </c>
    </row>
    <row r="300" spans="1:3">
      <c r="A300" t="s">
        <v>553</v>
      </c>
      <c r="B300" t="s">
        <v>508</v>
      </c>
      <c r="C300">
        <v>5</v>
      </c>
    </row>
    <row r="301" spans="1:3">
      <c r="A301" t="s">
        <v>554</v>
      </c>
      <c r="B301" t="s">
        <v>445</v>
      </c>
      <c r="C301">
        <v>9</v>
      </c>
    </row>
    <row r="302" spans="1:3">
      <c r="A302" t="s">
        <v>554</v>
      </c>
      <c r="B302" t="s">
        <v>508</v>
      </c>
      <c r="C302">
        <v>5</v>
      </c>
    </row>
    <row r="303" spans="1:3" hidden="1">
      <c r="A303" t="s">
        <v>555</v>
      </c>
      <c r="B303" t="s">
        <v>390</v>
      </c>
      <c r="C303">
        <v>4</v>
      </c>
    </row>
    <row r="304" spans="1:3">
      <c r="A304" t="s">
        <v>356</v>
      </c>
      <c r="B304" t="s">
        <v>360</v>
      </c>
      <c r="C304">
        <v>121</v>
      </c>
    </row>
    <row r="305" spans="1:3" hidden="1">
      <c r="A305" t="s">
        <v>522</v>
      </c>
      <c r="B305" t="s">
        <v>441</v>
      </c>
      <c r="C305">
        <v>19</v>
      </c>
    </row>
    <row r="306" spans="1:3" hidden="1">
      <c r="A306" t="s">
        <v>522</v>
      </c>
      <c r="B306" t="s">
        <v>426</v>
      </c>
      <c r="C306">
        <v>504</v>
      </c>
    </row>
    <row r="307" spans="1:3" hidden="1">
      <c r="A307" t="s">
        <v>479</v>
      </c>
      <c r="B307" t="s">
        <v>448</v>
      </c>
      <c r="C307">
        <v>1</v>
      </c>
    </row>
    <row r="308" spans="1:3" hidden="1">
      <c r="A308" t="s">
        <v>479</v>
      </c>
      <c r="B308" t="s">
        <v>500</v>
      </c>
      <c r="C308">
        <v>423</v>
      </c>
    </row>
    <row r="309" spans="1:3" hidden="1">
      <c r="A309" t="s">
        <v>479</v>
      </c>
      <c r="B309" t="s">
        <v>441</v>
      </c>
      <c r="C309">
        <v>132</v>
      </c>
    </row>
    <row r="310" spans="1:3" hidden="1">
      <c r="A310" t="s">
        <v>479</v>
      </c>
      <c r="B310" t="s">
        <v>426</v>
      </c>
      <c r="C310">
        <v>684</v>
      </c>
    </row>
  </sheetData>
  <autoFilter ref="A1:C310" xr:uid="{D2EDE887-90C6-4114-944B-CCEC882D005B}">
    <filterColumn colId="0">
      <filters>
        <filter val="ARS"/>
        <filter val="ARS_PERSI"/>
        <filter val="DIB3_AUX"/>
        <filter val="DIB3_AUX_PERSI"/>
        <filter val="DIB5_AUX"/>
        <filter val="DIB5_AUX_PERSI"/>
        <filter val="EPHARM"/>
        <filter val="EPHARM_PERSI"/>
        <filter val="EPS"/>
        <filter val="EPS_PERSI"/>
        <filter val="ESCRIBE_PERSI"/>
        <filter val="MDS"/>
        <filter val="MDS_PERSI"/>
        <filter val="SBMO"/>
        <filter val="SBMO_MEIJER"/>
        <filter val="SBMO_MEIJER_RPT"/>
        <filter val="SEC_ADMIN"/>
        <filter val="WL_ARS"/>
        <filter val="WL_CPR_PATIENT"/>
        <filter val="WL_CPR_REGLOG"/>
        <filter val="WL_CPR_SECADMIN"/>
        <filter val="WL_CPR_USPS"/>
        <filter val="WL_DIB3"/>
        <filter val="WL_DIB5"/>
        <filter val="WL_EAS"/>
        <filter val="WL_EPHARMACY"/>
        <filter val="WL_LINK_QUEUE"/>
        <filter val="WL_PAVS"/>
        <filter val="WL_PAVS_CPR"/>
        <filter val="WL_SBMO"/>
      </filters>
    </filterColumn>
    <filterColumn colId="1">
      <filters>
        <filter val="APPQOSSYS"/>
        <filter val="ARS"/>
        <filter val="ARS_PERSI"/>
        <filter val="AUDSYS"/>
        <filter val="CENTRAL_ADJUDICATION"/>
        <filter val="CENTRAL_ADJUDICATION_PERSI"/>
        <filter val="CENTRAL_PLAN"/>
        <filter val="CENTRAL_PLAN_PERSI"/>
        <filter val="CIS"/>
        <filter val="CIS_PERSI"/>
        <filter val="CRASH_REPORT"/>
        <filter val="CTXSYS"/>
        <filter val="DBA_TOOLS"/>
        <filter val="DIB3_2"/>
        <filter val="DIB3_2_PERSI"/>
        <filter val="DIB3_AUX"/>
        <filter val="DIB5_1"/>
        <filter val="DIB5_1_PERSI"/>
        <filter val="DIB5_AUX"/>
        <filter val="DVSYS"/>
        <filter val="EAS"/>
        <filter val="ENTERPRISE_MONITOR"/>
        <filter val="ENTERPRISE_MONITOR_PERSI"/>
        <filter val="EPHARM"/>
        <filter val="EPS"/>
        <filter val="EPS_PERSI"/>
        <filter val="ESCRIBE"/>
        <filter val="EVENT_LOGGING"/>
        <filter val="EVENT_LOGGING_PERSI"/>
        <filter val="GSMADMIN_INTERNAL"/>
        <filter val="HOSTED_RX"/>
        <filter val="JMS"/>
        <filter val="KMS"/>
        <filter val="KMS_PERSI"/>
        <filter val="LAB_RESULTS"/>
        <filter val="LAB_SERVICE"/>
        <filter val="LBACSYS"/>
        <filter val="LOOKER"/>
        <filter val="MDS"/>
        <filter val="MDSYS"/>
        <filter val="MTM"/>
        <filter val="MTM_CLINICAL"/>
        <filter val="NCPDP_DATAQ"/>
        <filter val="OJVMSYS"/>
        <filter val="OLAPSYS"/>
        <filter val="ORDDATA"/>
        <filter val="ORDSYS"/>
        <filter val="OUTLN"/>
        <filter val="PARTITION_MANAGER"/>
        <filter val="PATIENT_PORTAL"/>
        <filter val="PATIENT_PORTAL_PERSI"/>
        <filter val="PAVS"/>
        <filter val="PBC"/>
        <filter val="PDXDBA"/>
        <filter val="PDXMGR"/>
        <filter val="PNM"/>
        <filter val="PNM_PERSI"/>
        <filter val="PRODUCT_TRACKING"/>
        <filter val="PRODUCT_TRACKING_PERSI"/>
        <filter val="QUESTION_ANSWER"/>
        <filter val="QUESTION_ANSWER_PERSI"/>
        <filter val="REGISTRATION_LOG"/>
        <filter val="RODBA"/>
        <filter val="SBMO"/>
        <filter val="SBMO_MEIJER"/>
        <filter val="SEC_ADMIN"/>
        <filter val="SUPPORT_OWNER"/>
        <filter val="USPS_2"/>
        <filter val="VPDADM"/>
        <filter val="WEB_SESSIONS"/>
        <filter val="WMSYS"/>
        <filter val="XDB"/>
      </filters>
    </filterColumn>
  </autoFilter>
  <pageMargins left="0.7" right="0.7" top="0.75" bottom="0.75" header="0.3" footer="0.3"/>
  <pageSetup paperSize="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F1B4C-6322-462A-9B98-2F31704E94E2}">
  <sheetPr filterMode="1"/>
  <dimension ref="A1:C46"/>
  <sheetViews>
    <sheetView workbookViewId="0"/>
  </sheetViews>
  <sheetFormatPr defaultRowHeight="14.4"/>
  <cols>
    <col min="1" max="1" width="19.77734375" bestFit="1" customWidth="1"/>
    <col min="2" max="2" width="20.33203125" bestFit="1" customWidth="1"/>
  </cols>
  <sheetData>
    <row r="1" spans="1:3">
      <c r="A1" s="2" t="s">
        <v>422</v>
      </c>
      <c r="B1" s="2" t="s">
        <v>423</v>
      </c>
      <c r="C1" s="2" t="s">
        <v>424</v>
      </c>
    </row>
    <row r="2" spans="1:3" hidden="1">
      <c r="A2" t="s">
        <v>439</v>
      </c>
      <c r="B2" t="s">
        <v>440</v>
      </c>
      <c r="C2">
        <v>3</v>
      </c>
    </row>
    <row r="3" spans="1:3" hidden="1">
      <c r="A3" t="s">
        <v>442</v>
      </c>
      <c r="B3" t="s">
        <v>440</v>
      </c>
      <c r="C3">
        <v>3</v>
      </c>
    </row>
    <row r="4" spans="1:3">
      <c r="A4" t="s">
        <v>384</v>
      </c>
      <c r="B4" t="s">
        <v>383</v>
      </c>
      <c r="C4">
        <v>82</v>
      </c>
    </row>
    <row r="5" spans="1:3">
      <c r="A5" t="s">
        <v>453</v>
      </c>
      <c r="B5" t="s">
        <v>454</v>
      </c>
      <c r="C5">
        <v>82</v>
      </c>
    </row>
    <row r="6" spans="1:3">
      <c r="A6" t="s">
        <v>387</v>
      </c>
      <c r="B6" t="s">
        <v>385</v>
      </c>
      <c r="C6">
        <v>104</v>
      </c>
    </row>
    <row r="7" spans="1:3">
      <c r="A7" t="s">
        <v>455</v>
      </c>
      <c r="B7" t="s">
        <v>456</v>
      </c>
      <c r="C7">
        <v>104</v>
      </c>
    </row>
    <row r="8" spans="1:3" hidden="1">
      <c r="A8" t="s">
        <v>388</v>
      </c>
      <c r="B8" t="s">
        <v>440</v>
      </c>
      <c r="C8">
        <v>3</v>
      </c>
    </row>
    <row r="9" spans="1:3">
      <c r="A9" t="s">
        <v>464</v>
      </c>
      <c r="B9" t="s">
        <v>388</v>
      </c>
      <c r="C9">
        <v>1</v>
      </c>
    </row>
    <row r="10" spans="1:3">
      <c r="A10" t="s">
        <v>464</v>
      </c>
      <c r="B10" t="s">
        <v>440</v>
      </c>
      <c r="C10">
        <v>3</v>
      </c>
    </row>
    <row r="11" spans="1:3" hidden="1">
      <c r="A11" t="s">
        <v>445</v>
      </c>
      <c r="B11" t="s">
        <v>449</v>
      </c>
      <c r="C11">
        <v>1</v>
      </c>
    </row>
    <row r="12" spans="1:3" hidden="1">
      <c r="A12" t="s">
        <v>445</v>
      </c>
      <c r="B12" t="s">
        <v>465</v>
      </c>
      <c r="C12">
        <v>1</v>
      </c>
    </row>
    <row r="13" spans="1:3" hidden="1">
      <c r="A13" t="s">
        <v>445</v>
      </c>
      <c r="B13" t="s">
        <v>466</v>
      </c>
      <c r="C13">
        <v>1</v>
      </c>
    </row>
    <row r="14" spans="1:3" hidden="1">
      <c r="A14" t="s">
        <v>445</v>
      </c>
      <c r="B14" t="s">
        <v>440</v>
      </c>
      <c r="C14">
        <v>3</v>
      </c>
    </row>
    <row r="15" spans="1:3" hidden="1">
      <c r="A15" t="s">
        <v>445</v>
      </c>
      <c r="B15" t="s">
        <v>467</v>
      </c>
      <c r="C15">
        <v>1</v>
      </c>
    </row>
    <row r="16" spans="1:3" hidden="1">
      <c r="A16" t="s">
        <v>447</v>
      </c>
      <c r="B16" t="s">
        <v>449</v>
      </c>
      <c r="C16">
        <v>1</v>
      </c>
    </row>
    <row r="17" spans="1:3" hidden="1">
      <c r="A17" t="s">
        <v>447</v>
      </c>
      <c r="B17" t="s">
        <v>445</v>
      </c>
      <c r="C17">
        <v>4</v>
      </c>
    </row>
    <row r="18" spans="1:3" hidden="1">
      <c r="A18" t="s">
        <v>447</v>
      </c>
      <c r="B18" t="s">
        <v>468</v>
      </c>
      <c r="C18">
        <v>1</v>
      </c>
    </row>
    <row r="19" spans="1:3" hidden="1">
      <c r="A19" t="s">
        <v>447</v>
      </c>
      <c r="B19" t="s">
        <v>466</v>
      </c>
      <c r="C19">
        <v>1</v>
      </c>
    </row>
    <row r="20" spans="1:3" hidden="1">
      <c r="A20" t="s">
        <v>447</v>
      </c>
      <c r="B20" t="s">
        <v>440</v>
      </c>
      <c r="C20">
        <v>3</v>
      </c>
    </row>
    <row r="21" spans="1:3" hidden="1">
      <c r="A21" t="s">
        <v>447</v>
      </c>
      <c r="B21" t="s">
        <v>467</v>
      </c>
      <c r="C21">
        <v>1</v>
      </c>
    </row>
    <row r="22" spans="1:3">
      <c r="A22" t="s">
        <v>469</v>
      </c>
      <c r="B22" t="s">
        <v>389</v>
      </c>
      <c r="C22">
        <v>18</v>
      </c>
    </row>
    <row r="23" spans="1:3" hidden="1">
      <c r="A23" t="s">
        <v>477</v>
      </c>
      <c r="B23" t="s">
        <v>449</v>
      </c>
      <c r="C23">
        <v>1</v>
      </c>
    </row>
    <row r="24" spans="1:3" hidden="1">
      <c r="A24" t="s">
        <v>477</v>
      </c>
      <c r="B24" t="s">
        <v>440</v>
      </c>
      <c r="C24">
        <v>3</v>
      </c>
    </row>
    <row r="25" spans="1:3" hidden="1">
      <c r="A25" t="s">
        <v>480</v>
      </c>
      <c r="B25" t="s">
        <v>449</v>
      </c>
      <c r="C25">
        <v>1</v>
      </c>
    </row>
    <row r="26" spans="1:3" hidden="1">
      <c r="A26" t="s">
        <v>480</v>
      </c>
      <c r="B26" t="s">
        <v>440</v>
      </c>
      <c r="C26">
        <v>3</v>
      </c>
    </row>
    <row r="27" spans="1:3" hidden="1">
      <c r="A27" t="s">
        <v>360</v>
      </c>
      <c r="B27" t="s">
        <v>449</v>
      </c>
      <c r="C27">
        <v>1</v>
      </c>
    </row>
    <row r="28" spans="1:3" hidden="1">
      <c r="A28" t="s">
        <v>360</v>
      </c>
      <c r="B28" t="s">
        <v>440</v>
      </c>
      <c r="C28">
        <v>3</v>
      </c>
    </row>
    <row r="29" spans="1:3" hidden="1">
      <c r="A29" t="s">
        <v>354</v>
      </c>
      <c r="B29" t="s">
        <v>360</v>
      </c>
      <c r="C29">
        <v>71</v>
      </c>
    </row>
    <row r="30" spans="1:3" hidden="1">
      <c r="A30" t="s">
        <v>355</v>
      </c>
      <c r="B30" t="s">
        <v>354</v>
      </c>
      <c r="C30">
        <v>71</v>
      </c>
    </row>
    <row r="31" spans="1:3" hidden="1">
      <c r="A31" t="s">
        <v>497</v>
      </c>
      <c r="B31" t="s">
        <v>440</v>
      </c>
      <c r="C31">
        <v>3</v>
      </c>
    </row>
    <row r="32" spans="1:3" hidden="1">
      <c r="A32" t="s">
        <v>536</v>
      </c>
      <c r="B32" t="s">
        <v>439</v>
      </c>
      <c r="C32">
        <v>46</v>
      </c>
    </row>
    <row r="33" spans="1:3" hidden="1">
      <c r="A33" t="s">
        <v>537</v>
      </c>
      <c r="B33" t="s">
        <v>445</v>
      </c>
      <c r="C33">
        <v>227</v>
      </c>
    </row>
    <row r="34" spans="1:3" hidden="1">
      <c r="A34" t="s">
        <v>537</v>
      </c>
      <c r="B34" t="s">
        <v>465</v>
      </c>
      <c r="C34">
        <v>1</v>
      </c>
    </row>
    <row r="35" spans="1:3" hidden="1">
      <c r="A35" t="s">
        <v>538</v>
      </c>
      <c r="B35" t="s">
        <v>527</v>
      </c>
      <c r="C35">
        <v>4</v>
      </c>
    </row>
    <row r="36" spans="1:3" hidden="1">
      <c r="A36" t="s">
        <v>539</v>
      </c>
      <c r="B36" t="s">
        <v>497</v>
      </c>
      <c r="C36">
        <v>24</v>
      </c>
    </row>
    <row r="37" spans="1:3" hidden="1">
      <c r="A37" t="s">
        <v>540</v>
      </c>
      <c r="B37" t="s">
        <v>520</v>
      </c>
      <c r="C37">
        <v>7</v>
      </c>
    </row>
    <row r="38" spans="1:3" hidden="1">
      <c r="A38" t="s">
        <v>391</v>
      </c>
      <c r="B38" t="s">
        <v>384</v>
      </c>
      <c r="C38">
        <v>91</v>
      </c>
    </row>
    <row r="39" spans="1:3" hidden="1">
      <c r="A39" t="s">
        <v>392</v>
      </c>
      <c r="B39" t="s">
        <v>387</v>
      </c>
      <c r="C39">
        <v>113</v>
      </c>
    </row>
    <row r="40" spans="1:3" hidden="1">
      <c r="A40" t="s">
        <v>541</v>
      </c>
      <c r="B40" t="s">
        <v>460</v>
      </c>
      <c r="C40">
        <v>12</v>
      </c>
    </row>
    <row r="41" spans="1:3" hidden="1">
      <c r="A41" t="s">
        <v>393</v>
      </c>
      <c r="B41" t="s">
        <v>388</v>
      </c>
      <c r="C41">
        <v>76</v>
      </c>
    </row>
    <row r="42" spans="1:3" hidden="1">
      <c r="A42" t="s">
        <v>548</v>
      </c>
      <c r="B42" t="s">
        <v>440</v>
      </c>
      <c r="C42">
        <v>3</v>
      </c>
    </row>
    <row r="43" spans="1:3" hidden="1">
      <c r="A43" t="s">
        <v>553</v>
      </c>
      <c r="B43" t="s">
        <v>508</v>
      </c>
      <c r="C43">
        <v>5</v>
      </c>
    </row>
    <row r="44" spans="1:3" hidden="1">
      <c r="A44" t="s">
        <v>554</v>
      </c>
      <c r="B44" t="s">
        <v>445</v>
      </c>
      <c r="C44">
        <v>9</v>
      </c>
    </row>
    <row r="45" spans="1:3" hidden="1">
      <c r="A45" t="s">
        <v>554</v>
      </c>
      <c r="B45" t="s">
        <v>508</v>
      </c>
      <c r="C45">
        <v>5</v>
      </c>
    </row>
    <row r="46" spans="1:3" hidden="1">
      <c r="A46" t="s">
        <v>356</v>
      </c>
      <c r="B46" t="s">
        <v>360</v>
      </c>
      <c r="C46">
        <v>121</v>
      </c>
    </row>
  </sheetData>
  <autoFilter ref="A1:C46" xr:uid="{77AF1B4C-6322-462A-9B98-2F31704E94E2}">
    <filterColumn colId="0">
      <filters>
        <filter val="DIB3_AUX"/>
        <filter val="DIB3_AUX_PERSI"/>
        <filter val="DIB5_AUX"/>
        <filter val="DIB5_AUX_PERSI"/>
        <filter val="EPHARM_PERSI"/>
        <filter val="ESCRIBE_PERSI"/>
      </filters>
    </filterColumn>
  </autoFilter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8"/>
  <sheetViews>
    <sheetView workbookViewId="0">
      <selection activeCell="B17" sqref="B17"/>
    </sheetView>
  </sheetViews>
  <sheetFormatPr defaultRowHeight="14.4"/>
  <cols>
    <col min="1" max="1" width="19.109375" bestFit="1" customWidth="1"/>
    <col min="2" max="2" width="23.33203125" customWidth="1"/>
    <col min="4" max="4" width="15.6640625" bestFit="1" customWidth="1"/>
    <col min="5" max="5" width="7.109375" customWidth="1"/>
    <col min="6" max="6" width="12.21875" bestFit="1" customWidth="1"/>
    <col min="7" max="7" width="16.5546875" bestFit="1" customWidth="1"/>
    <col min="8" max="8" width="6.109375" bestFit="1" customWidth="1"/>
    <col min="10" max="11" width="34.33203125" bestFit="1" customWidth="1"/>
  </cols>
  <sheetData>
    <row r="1" spans="1:11" s="2" customFormat="1">
      <c r="A1" s="2" t="s">
        <v>0</v>
      </c>
      <c r="B1" s="2" t="s">
        <v>1</v>
      </c>
      <c r="D1" t="s">
        <v>333</v>
      </c>
      <c r="E1" t="s">
        <v>156</v>
      </c>
      <c r="G1" s="2" t="s">
        <v>155</v>
      </c>
      <c r="H1" s="2" t="s">
        <v>156</v>
      </c>
      <c r="J1" s="2" t="s">
        <v>16</v>
      </c>
      <c r="K1" s="2" t="s">
        <v>154</v>
      </c>
    </row>
    <row r="2" spans="1:11">
      <c r="A2" t="s">
        <v>2</v>
      </c>
      <c r="B2">
        <v>353</v>
      </c>
      <c r="D2" t="s">
        <v>168</v>
      </c>
      <c r="E2" s="1">
        <v>38</v>
      </c>
      <c r="G2" t="s">
        <v>157</v>
      </c>
      <c r="H2">
        <v>207</v>
      </c>
      <c r="J2" t="s">
        <v>17</v>
      </c>
      <c r="K2" t="s">
        <v>17</v>
      </c>
    </row>
    <row r="3" spans="1:11">
      <c r="A3" t="s">
        <v>3</v>
      </c>
      <c r="B3" s="1">
        <v>2197</v>
      </c>
      <c r="D3" t="s">
        <v>2</v>
      </c>
      <c r="E3" s="1">
        <v>322</v>
      </c>
      <c r="G3" t="s">
        <v>158</v>
      </c>
      <c r="H3">
        <v>0</v>
      </c>
      <c r="J3" t="s">
        <v>18</v>
      </c>
      <c r="K3" t="s">
        <v>18</v>
      </c>
    </row>
    <row r="4" spans="1:11">
      <c r="A4" t="s">
        <v>4</v>
      </c>
      <c r="B4" s="1">
        <v>32796</v>
      </c>
      <c r="D4" t="s">
        <v>7</v>
      </c>
      <c r="E4">
        <v>73</v>
      </c>
      <c r="G4" t="s">
        <v>159</v>
      </c>
      <c r="H4">
        <v>169</v>
      </c>
      <c r="J4" t="s">
        <v>19</v>
      </c>
      <c r="K4" t="s">
        <v>19</v>
      </c>
    </row>
    <row r="5" spans="1:11">
      <c r="A5" t="s">
        <v>5</v>
      </c>
      <c r="B5">
        <v>7</v>
      </c>
      <c r="D5" t="s">
        <v>8</v>
      </c>
      <c r="E5">
        <v>9</v>
      </c>
      <c r="G5" t="s">
        <v>160</v>
      </c>
      <c r="H5">
        <v>123</v>
      </c>
      <c r="J5" t="s">
        <v>20</v>
      </c>
      <c r="K5" t="s">
        <v>20</v>
      </c>
    </row>
    <row r="6" spans="1:11">
      <c r="A6" t="s">
        <v>6</v>
      </c>
      <c r="B6">
        <v>7</v>
      </c>
      <c r="D6" t="s">
        <v>9</v>
      </c>
      <c r="E6">
        <v>144</v>
      </c>
      <c r="G6" t="s">
        <v>161</v>
      </c>
      <c r="H6">
        <v>9</v>
      </c>
      <c r="J6" t="s">
        <v>21</v>
      </c>
      <c r="K6" t="s">
        <v>21</v>
      </c>
    </row>
    <row r="7" spans="1:11">
      <c r="A7" t="s">
        <v>7</v>
      </c>
      <c r="B7">
        <v>4</v>
      </c>
      <c r="D7" t="s">
        <v>10</v>
      </c>
      <c r="E7">
        <v>56</v>
      </c>
      <c r="G7" t="s">
        <v>162</v>
      </c>
      <c r="H7">
        <v>13</v>
      </c>
      <c r="J7" t="s">
        <v>22</v>
      </c>
      <c r="K7" t="s">
        <v>22</v>
      </c>
    </row>
    <row r="8" spans="1:11">
      <c r="A8" t="s">
        <v>8</v>
      </c>
      <c r="B8">
        <v>9</v>
      </c>
      <c r="D8" t="s">
        <v>12</v>
      </c>
      <c r="E8">
        <v>31</v>
      </c>
      <c r="G8" t="s">
        <v>163</v>
      </c>
      <c r="H8">
        <v>0</v>
      </c>
      <c r="J8" t="s">
        <v>23</v>
      </c>
      <c r="K8" t="s">
        <v>23</v>
      </c>
    </row>
    <row r="9" spans="1:11">
      <c r="A9" t="s">
        <v>9</v>
      </c>
      <c r="B9">
        <v>137</v>
      </c>
      <c r="F9" s="1"/>
      <c r="G9" t="s">
        <v>164</v>
      </c>
      <c r="H9">
        <v>137</v>
      </c>
      <c r="J9" t="s">
        <v>24</v>
      </c>
      <c r="K9" t="s">
        <v>24</v>
      </c>
    </row>
    <row r="10" spans="1:11">
      <c r="A10" t="s">
        <v>10</v>
      </c>
      <c r="B10" s="1">
        <v>1013</v>
      </c>
      <c r="F10" s="1"/>
      <c r="G10" t="s">
        <v>165</v>
      </c>
      <c r="H10">
        <v>31</v>
      </c>
      <c r="J10" t="s">
        <v>25</v>
      </c>
      <c r="K10" t="s">
        <v>25</v>
      </c>
    </row>
    <row r="11" spans="1:11">
      <c r="A11" t="s">
        <v>11</v>
      </c>
      <c r="B11" s="1">
        <v>12622</v>
      </c>
      <c r="G11" t="s">
        <v>166</v>
      </c>
      <c r="H11">
        <v>23</v>
      </c>
      <c r="J11" t="s">
        <v>26</v>
      </c>
      <c r="K11" t="s">
        <v>26</v>
      </c>
    </row>
    <row r="12" spans="1:11">
      <c r="A12" t="s">
        <v>12</v>
      </c>
      <c r="B12">
        <v>31</v>
      </c>
      <c r="G12" t="s">
        <v>167</v>
      </c>
      <c r="H12">
        <v>1</v>
      </c>
      <c r="J12" t="s">
        <v>27</v>
      </c>
      <c r="K12" t="s">
        <v>27</v>
      </c>
    </row>
    <row r="13" spans="1:11">
      <c r="A13" t="s">
        <v>13</v>
      </c>
      <c r="B13">
        <v>1</v>
      </c>
      <c r="J13" t="s">
        <v>28</v>
      </c>
      <c r="K13" t="s">
        <v>28</v>
      </c>
    </row>
    <row r="14" spans="1:11">
      <c r="F14" s="1"/>
      <c r="J14" t="s">
        <v>29</v>
      </c>
      <c r="K14" t="s">
        <v>29</v>
      </c>
    </row>
    <row r="15" spans="1:11" ht="15" thickBot="1">
      <c r="D15" t="s">
        <v>419</v>
      </c>
      <c r="F15" s="1"/>
      <c r="J15" t="s">
        <v>30</v>
      </c>
      <c r="K15" t="s">
        <v>30</v>
      </c>
    </row>
    <row r="16" spans="1:11" ht="15" thickBot="1">
      <c r="A16" t="s">
        <v>0</v>
      </c>
      <c r="B16" t="s">
        <v>1</v>
      </c>
      <c r="D16" s="17" t="s">
        <v>333</v>
      </c>
      <c r="E16" s="18" t="s">
        <v>156</v>
      </c>
      <c r="J16" t="s">
        <v>31</v>
      </c>
      <c r="K16" t="s">
        <v>31</v>
      </c>
    </row>
    <row r="17" spans="1:11" ht="15" thickBot="1">
      <c r="A17" t="s">
        <v>2</v>
      </c>
      <c r="B17">
        <v>353</v>
      </c>
      <c r="D17" s="19" t="s">
        <v>168</v>
      </c>
      <c r="E17" s="16">
        <v>38</v>
      </c>
      <c r="J17" t="s">
        <v>32</v>
      </c>
      <c r="K17" t="s">
        <v>32</v>
      </c>
    </row>
    <row r="18" spans="1:11" ht="15" thickBot="1">
      <c r="A18" t="s">
        <v>3</v>
      </c>
      <c r="B18" s="1">
        <v>2197</v>
      </c>
      <c r="D18" s="19" t="s">
        <v>2</v>
      </c>
      <c r="E18" s="16">
        <v>322</v>
      </c>
      <c r="J18" t="s">
        <v>33</v>
      </c>
      <c r="K18" t="s">
        <v>33</v>
      </c>
    </row>
    <row r="19" spans="1:11" ht="15" thickBot="1">
      <c r="A19" t="s">
        <v>4</v>
      </c>
      <c r="B19" s="1">
        <v>32796</v>
      </c>
      <c r="D19" s="19" t="s">
        <v>7</v>
      </c>
      <c r="E19" s="16">
        <v>73</v>
      </c>
      <c r="J19" t="s">
        <v>34</v>
      </c>
      <c r="K19" t="s">
        <v>35</v>
      </c>
    </row>
    <row r="20" spans="1:11" ht="15" thickBot="1">
      <c r="A20" t="s">
        <v>5</v>
      </c>
      <c r="B20">
        <v>7</v>
      </c>
      <c r="D20" s="19" t="s">
        <v>8</v>
      </c>
      <c r="E20" s="16">
        <v>9</v>
      </c>
      <c r="J20" t="s">
        <v>35</v>
      </c>
      <c r="K20" t="s">
        <v>34</v>
      </c>
    </row>
    <row r="21" spans="1:11" ht="15" thickBot="1">
      <c r="A21" t="s">
        <v>6</v>
      </c>
      <c r="B21">
        <v>7</v>
      </c>
      <c r="D21" s="19" t="s">
        <v>9</v>
      </c>
      <c r="E21" s="16">
        <v>144</v>
      </c>
      <c r="J21" t="s">
        <v>36</v>
      </c>
      <c r="K21" t="s">
        <v>38</v>
      </c>
    </row>
    <row r="22" spans="1:11" ht="15" thickBot="1">
      <c r="A22" t="s">
        <v>7</v>
      </c>
      <c r="B22">
        <v>4</v>
      </c>
      <c r="D22" s="19" t="s">
        <v>10</v>
      </c>
      <c r="E22" s="16">
        <v>1508</v>
      </c>
      <c r="J22" t="s">
        <v>37</v>
      </c>
      <c r="K22" t="s">
        <v>37</v>
      </c>
    </row>
    <row r="23" spans="1:11" ht="15" thickBot="1">
      <c r="A23" t="s">
        <v>8</v>
      </c>
      <c r="B23">
        <v>9</v>
      </c>
      <c r="D23" s="19" t="s">
        <v>12</v>
      </c>
      <c r="E23" s="16">
        <v>31</v>
      </c>
      <c r="J23" t="s">
        <v>38</v>
      </c>
      <c r="K23" t="s">
        <v>36</v>
      </c>
    </row>
    <row r="24" spans="1:11" ht="15" thickBot="1">
      <c r="A24" t="s">
        <v>9</v>
      </c>
      <c r="B24">
        <v>137</v>
      </c>
      <c r="J24" t="s">
        <v>39</v>
      </c>
      <c r="K24" t="s">
        <v>39</v>
      </c>
    </row>
    <row r="25" spans="1:11" ht="15" thickBot="1">
      <c r="A25" t="s">
        <v>10</v>
      </c>
      <c r="B25" s="1">
        <v>1013</v>
      </c>
      <c r="D25" s="17" t="s">
        <v>333</v>
      </c>
      <c r="E25" s="18" t="s">
        <v>156</v>
      </c>
      <c r="J25" t="s">
        <v>40</v>
      </c>
      <c r="K25" t="s">
        <v>40</v>
      </c>
    </row>
    <row r="26" spans="1:11" ht="15" thickBot="1">
      <c r="A26" t="s">
        <v>11</v>
      </c>
      <c r="B26" s="1">
        <v>12622</v>
      </c>
      <c r="D26" s="19" t="s">
        <v>168</v>
      </c>
      <c r="E26" s="16">
        <v>38</v>
      </c>
      <c r="J26" t="s">
        <v>41</v>
      </c>
      <c r="K26" t="s">
        <v>41</v>
      </c>
    </row>
    <row r="27" spans="1:11" ht="15" thickBot="1">
      <c r="A27" t="s">
        <v>12</v>
      </c>
      <c r="B27">
        <v>33</v>
      </c>
      <c r="D27" s="19" t="s">
        <v>2</v>
      </c>
      <c r="E27" s="16">
        <v>322</v>
      </c>
      <c r="J27" t="s">
        <v>42</v>
      </c>
      <c r="K27" t="s">
        <v>42</v>
      </c>
    </row>
    <row r="28" spans="1:11" ht="15" thickBot="1">
      <c r="A28" t="s">
        <v>13</v>
      </c>
      <c r="B28">
        <v>1</v>
      </c>
      <c r="D28" s="19" t="s">
        <v>7</v>
      </c>
      <c r="E28" s="16">
        <v>73</v>
      </c>
      <c r="J28" t="s">
        <v>43</v>
      </c>
      <c r="K28" t="s">
        <v>43</v>
      </c>
    </row>
    <row r="29" spans="1:11" ht="15" thickBot="1">
      <c r="D29" s="19" t="s">
        <v>8</v>
      </c>
      <c r="E29" s="16">
        <v>9</v>
      </c>
      <c r="J29" t="s">
        <v>44</v>
      </c>
      <c r="K29" t="s">
        <v>44</v>
      </c>
    </row>
    <row r="30" spans="1:11" ht="15" thickBot="1">
      <c r="D30" s="19" t="s">
        <v>9</v>
      </c>
      <c r="E30" s="16">
        <v>144</v>
      </c>
      <c r="J30" t="s">
        <v>45</v>
      </c>
      <c r="K30" t="s">
        <v>45</v>
      </c>
    </row>
    <row r="31" spans="1:11" ht="15" thickBot="1">
      <c r="D31" s="19" t="s">
        <v>420</v>
      </c>
      <c r="E31" s="16">
        <v>1</v>
      </c>
      <c r="J31" t="s">
        <v>46</v>
      </c>
      <c r="K31" t="s">
        <v>46</v>
      </c>
    </row>
    <row r="32" spans="1:11" ht="15" thickBot="1">
      <c r="D32" s="19" t="s">
        <v>10</v>
      </c>
      <c r="E32" s="16">
        <v>1508</v>
      </c>
      <c r="J32" t="s">
        <v>47</v>
      </c>
      <c r="K32" t="s">
        <v>47</v>
      </c>
    </row>
    <row r="33" spans="4:11" ht="15" thickBot="1">
      <c r="D33" s="19" t="s">
        <v>12</v>
      </c>
      <c r="E33" s="16">
        <v>31</v>
      </c>
      <c r="J33" t="s">
        <v>48</v>
      </c>
      <c r="K33" t="s">
        <v>48</v>
      </c>
    </row>
    <row r="34" spans="4:11" ht="15" thickBot="1">
      <c r="D34" s="19" t="s">
        <v>421</v>
      </c>
      <c r="E34" s="16">
        <v>0</v>
      </c>
      <c r="J34" t="s">
        <v>49</v>
      </c>
      <c r="K34" t="s">
        <v>49</v>
      </c>
    </row>
    <row r="35" spans="4:11">
      <c r="J35" t="s">
        <v>50</v>
      </c>
      <c r="K35" t="s">
        <v>50</v>
      </c>
    </row>
    <row r="36" spans="4:11">
      <c r="J36" t="s">
        <v>51</v>
      </c>
      <c r="K36" t="s">
        <v>51</v>
      </c>
    </row>
    <row r="37" spans="4:11">
      <c r="J37" t="s">
        <v>52</v>
      </c>
      <c r="K37" t="s">
        <v>52</v>
      </c>
    </row>
    <row r="38" spans="4:11">
      <c r="J38" t="s">
        <v>53</v>
      </c>
      <c r="K38" t="s">
        <v>53</v>
      </c>
    </row>
    <row r="39" spans="4:11">
      <c r="J39" t="s">
        <v>54</v>
      </c>
      <c r="K39" t="s">
        <v>54</v>
      </c>
    </row>
    <row r="40" spans="4:11">
      <c r="J40" t="s">
        <v>55</v>
      </c>
      <c r="K40" t="s">
        <v>55</v>
      </c>
    </row>
    <row r="41" spans="4:11">
      <c r="J41" t="s">
        <v>56</v>
      </c>
      <c r="K41" t="s">
        <v>56</v>
      </c>
    </row>
    <row r="42" spans="4:11">
      <c r="J42" t="s">
        <v>57</v>
      </c>
      <c r="K42" t="s">
        <v>57</v>
      </c>
    </row>
    <row r="43" spans="4:11">
      <c r="J43" t="s">
        <v>58</v>
      </c>
      <c r="K43" t="s">
        <v>58</v>
      </c>
    </row>
    <row r="44" spans="4:11">
      <c r="J44" t="s">
        <v>59</v>
      </c>
      <c r="K44" t="s">
        <v>59</v>
      </c>
    </row>
    <row r="45" spans="4:11">
      <c r="J45" t="s">
        <v>60</v>
      </c>
      <c r="K45" t="s">
        <v>60</v>
      </c>
    </row>
    <row r="46" spans="4:11">
      <c r="J46" t="s">
        <v>61</v>
      </c>
      <c r="K46" t="s">
        <v>61</v>
      </c>
    </row>
    <row r="47" spans="4:11">
      <c r="J47" t="s">
        <v>62</v>
      </c>
      <c r="K47" t="s">
        <v>62</v>
      </c>
    </row>
    <row r="48" spans="4:11">
      <c r="J48" t="s">
        <v>63</v>
      </c>
      <c r="K48" t="s">
        <v>63</v>
      </c>
    </row>
    <row r="49" spans="10:11">
      <c r="J49" t="s">
        <v>64</v>
      </c>
      <c r="K49" t="s">
        <v>64</v>
      </c>
    </row>
    <row r="50" spans="10:11">
      <c r="J50" t="s">
        <v>65</v>
      </c>
      <c r="K50" t="s">
        <v>65</v>
      </c>
    </row>
    <row r="51" spans="10:11">
      <c r="J51" t="s">
        <v>66</v>
      </c>
      <c r="K51" t="s">
        <v>66</v>
      </c>
    </row>
    <row r="52" spans="10:11">
      <c r="J52" t="s">
        <v>67</v>
      </c>
      <c r="K52" t="s">
        <v>67</v>
      </c>
    </row>
    <row r="53" spans="10:11">
      <c r="J53" t="s">
        <v>68</v>
      </c>
      <c r="K53" t="s">
        <v>68</v>
      </c>
    </row>
    <row r="54" spans="10:11">
      <c r="J54" t="s">
        <v>69</v>
      </c>
      <c r="K54" t="s">
        <v>69</v>
      </c>
    </row>
    <row r="55" spans="10:11">
      <c r="J55" t="s">
        <v>70</v>
      </c>
      <c r="K55" t="s">
        <v>70</v>
      </c>
    </row>
    <row r="56" spans="10:11">
      <c r="J56" t="s">
        <v>71</v>
      </c>
      <c r="K56" t="s">
        <v>71</v>
      </c>
    </row>
    <row r="57" spans="10:11">
      <c r="J57" t="s">
        <v>72</v>
      </c>
      <c r="K57" t="s">
        <v>72</v>
      </c>
    </row>
    <row r="58" spans="10:11">
      <c r="J58" t="s">
        <v>73</v>
      </c>
      <c r="K58" t="s">
        <v>74</v>
      </c>
    </row>
    <row r="59" spans="10:11">
      <c r="J59" t="s">
        <v>74</v>
      </c>
      <c r="K59" t="s">
        <v>75</v>
      </c>
    </row>
    <row r="60" spans="10:11">
      <c r="J60" t="s">
        <v>75</v>
      </c>
      <c r="K60" t="s">
        <v>73</v>
      </c>
    </row>
    <row r="61" spans="10:11">
      <c r="J61" t="s">
        <v>76</v>
      </c>
      <c r="K61" t="s">
        <v>78</v>
      </c>
    </row>
    <row r="62" spans="10:11">
      <c r="J62" t="s">
        <v>77</v>
      </c>
      <c r="K62" t="s">
        <v>79</v>
      </c>
    </row>
    <row r="63" spans="10:11">
      <c r="J63" t="s">
        <v>78</v>
      </c>
      <c r="K63" t="s">
        <v>80</v>
      </c>
    </row>
    <row r="64" spans="10:11">
      <c r="J64" t="s">
        <v>79</v>
      </c>
      <c r="K64" t="s">
        <v>81</v>
      </c>
    </row>
    <row r="65" spans="10:11">
      <c r="J65" t="s">
        <v>80</v>
      </c>
      <c r="K65" t="s">
        <v>76</v>
      </c>
    </row>
    <row r="66" spans="10:11">
      <c r="J66" t="s">
        <v>81</v>
      </c>
      <c r="K66" t="s">
        <v>77</v>
      </c>
    </row>
    <row r="67" spans="10:11">
      <c r="J67" t="s">
        <v>82</v>
      </c>
      <c r="K67" t="s">
        <v>82</v>
      </c>
    </row>
    <row r="68" spans="10:11">
      <c r="J68" t="s">
        <v>83</v>
      </c>
      <c r="K68" t="s">
        <v>83</v>
      </c>
    </row>
    <row r="69" spans="10:11">
      <c r="J69" t="s">
        <v>84</v>
      </c>
      <c r="K69" t="s">
        <v>85</v>
      </c>
    </row>
    <row r="70" spans="10:11">
      <c r="J70" t="s">
        <v>85</v>
      </c>
      <c r="K70" t="s">
        <v>84</v>
      </c>
    </row>
    <row r="71" spans="10:11">
      <c r="J71" t="s">
        <v>86</v>
      </c>
      <c r="K71" t="s">
        <v>86</v>
      </c>
    </row>
    <row r="72" spans="10:11">
      <c r="J72" t="s">
        <v>87</v>
      </c>
      <c r="K72" t="s">
        <v>87</v>
      </c>
    </row>
    <row r="73" spans="10:11">
      <c r="J73" t="s">
        <v>88</v>
      </c>
      <c r="K73" t="s">
        <v>88</v>
      </c>
    </row>
    <row r="74" spans="10:11">
      <c r="J74" t="s">
        <v>89</v>
      </c>
      <c r="K74" t="s">
        <v>89</v>
      </c>
    </row>
    <row r="75" spans="10:11">
      <c r="J75" t="s">
        <v>90</v>
      </c>
      <c r="K75" t="s">
        <v>90</v>
      </c>
    </row>
    <row r="76" spans="10:11">
      <c r="J76" t="s">
        <v>91</v>
      </c>
      <c r="K76" t="s">
        <v>91</v>
      </c>
    </row>
    <row r="77" spans="10:11">
      <c r="J77" t="s">
        <v>92</v>
      </c>
      <c r="K77" t="s">
        <v>92</v>
      </c>
    </row>
    <row r="78" spans="10:11">
      <c r="J78" t="s">
        <v>93</v>
      </c>
      <c r="K78" t="s">
        <v>93</v>
      </c>
    </row>
    <row r="79" spans="10:11">
      <c r="J79" t="s">
        <v>94</v>
      </c>
      <c r="K79" t="s">
        <v>94</v>
      </c>
    </row>
    <row r="80" spans="10:11">
      <c r="J80" t="s">
        <v>95</v>
      </c>
      <c r="K80" t="s">
        <v>95</v>
      </c>
    </row>
    <row r="81" spans="10:11">
      <c r="J81" t="s">
        <v>96</v>
      </c>
      <c r="K81" t="s">
        <v>96</v>
      </c>
    </row>
    <row r="82" spans="10:11">
      <c r="J82" t="s">
        <v>97</v>
      </c>
      <c r="K82" t="s">
        <v>97</v>
      </c>
    </row>
    <row r="83" spans="10:11">
      <c r="J83" t="s">
        <v>98</v>
      </c>
      <c r="K83" t="s">
        <v>98</v>
      </c>
    </row>
    <row r="84" spans="10:11">
      <c r="J84" t="s">
        <v>99</v>
      </c>
      <c r="K84" t="s">
        <v>99</v>
      </c>
    </row>
    <row r="85" spans="10:11">
      <c r="J85" t="s">
        <v>100</v>
      </c>
      <c r="K85" t="s">
        <v>100</v>
      </c>
    </row>
    <row r="86" spans="10:11">
      <c r="J86" t="s">
        <v>101</v>
      </c>
      <c r="K86" t="s">
        <v>101</v>
      </c>
    </row>
    <row r="87" spans="10:11">
      <c r="J87" t="s">
        <v>102</v>
      </c>
      <c r="K87" t="s">
        <v>102</v>
      </c>
    </row>
    <row r="88" spans="10:11">
      <c r="J88" t="s">
        <v>103</v>
      </c>
      <c r="K88" t="s">
        <v>103</v>
      </c>
    </row>
    <row r="89" spans="10:11">
      <c r="J89" t="s">
        <v>104</v>
      </c>
      <c r="K89" t="s">
        <v>104</v>
      </c>
    </row>
    <row r="90" spans="10:11">
      <c r="J90" t="s">
        <v>105</v>
      </c>
      <c r="K90" t="s">
        <v>105</v>
      </c>
    </row>
    <row r="91" spans="10:11">
      <c r="J91" t="s">
        <v>106</v>
      </c>
      <c r="K91" t="s">
        <v>106</v>
      </c>
    </row>
    <row r="92" spans="10:11">
      <c r="J92" t="s">
        <v>107</v>
      </c>
      <c r="K92" t="s">
        <v>107</v>
      </c>
    </row>
    <row r="93" spans="10:11">
      <c r="J93" t="s">
        <v>108</v>
      </c>
      <c r="K93" t="s">
        <v>108</v>
      </c>
    </row>
    <row r="94" spans="10:11">
      <c r="J94" t="s">
        <v>109</v>
      </c>
      <c r="K94" t="s">
        <v>109</v>
      </c>
    </row>
    <row r="95" spans="10:11">
      <c r="J95" t="s">
        <v>110</v>
      </c>
      <c r="K95" t="s">
        <v>110</v>
      </c>
    </row>
    <row r="96" spans="10:11">
      <c r="J96" t="s">
        <v>111</v>
      </c>
      <c r="K96" t="s">
        <v>111</v>
      </c>
    </row>
    <row r="97" spans="10:11">
      <c r="J97" t="s">
        <v>112</v>
      </c>
      <c r="K97" t="s">
        <v>112</v>
      </c>
    </row>
    <row r="98" spans="10:11">
      <c r="J98" t="s">
        <v>113</v>
      </c>
      <c r="K98" t="s">
        <v>113</v>
      </c>
    </row>
    <row r="99" spans="10:11">
      <c r="J99" t="s">
        <v>114</v>
      </c>
      <c r="K99" t="s">
        <v>114</v>
      </c>
    </row>
    <row r="100" spans="10:11">
      <c r="J100" t="s">
        <v>115</v>
      </c>
      <c r="K100" t="s">
        <v>115</v>
      </c>
    </row>
    <row r="101" spans="10:11">
      <c r="J101" t="s">
        <v>116</v>
      </c>
      <c r="K101" t="s">
        <v>116</v>
      </c>
    </row>
    <row r="102" spans="10:11">
      <c r="J102" t="s">
        <v>117</v>
      </c>
      <c r="K102" t="s">
        <v>117</v>
      </c>
    </row>
    <row r="103" spans="10:11">
      <c r="J103" t="s">
        <v>118</v>
      </c>
      <c r="K103" t="s">
        <v>118</v>
      </c>
    </row>
    <row r="104" spans="10:11">
      <c r="J104" t="s">
        <v>119</v>
      </c>
      <c r="K104" t="s">
        <v>119</v>
      </c>
    </row>
    <row r="105" spans="10:11">
      <c r="J105" t="s">
        <v>120</v>
      </c>
      <c r="K105" t="s">
        <v>121</v>
      </c>
    </row>
    <row r="106" spans="10:11">
      <c r="J106" t="s">
        <v>121</v>
      </c>
      <c r="K106" t="s">
        <v>120</v>
      </c>
    </row>
    <row r="107" spans="10:11">
      <c r="J107" t="s">
        <v>122</v>
      </c>
      <c r="K107" t="s">
        <v>122</v>
      </c>
    </row>
    <row r="108" spans="10:11">
      <c r="J108" t="s">
        <v>123</v>
      </c>
      <c r="K108" t="s">
        <v>123</v>
      </c>
    </row>
    <row r="109" spans="10:11">
      <c r="J109" t="s">
        <v>124</v>
      </c>
      <c r="K109" t="s">
        <v>124</v>
      </c>
    </row>
    <row r="110" spans="10:11">
      <c r="J110" t="s">
        <v>125</v>
      </c>
      <c r="K110" t="s">
        <v>125</v>
      </c>
    </row>
    <row r="111" spans="10:11">
      <c r="J111" t="s">
        <v>126</v>
      </c>
      <c r="K111" t="s">
        <v>126</v>
      </c>
    </row>
    <row r="112" spans="10:11">
      <c r="J112" t="s">
        <v>127</v>
      </c>
      <c r="K112" t="s">
        <v>127</v>
      </c>
    </row>
    <row r="113" spans="10:11">
      <c r="J113" t="s">
        <v>128</v>
      </c>
      <c r="K113" t="s">
        <v>128</v>
      </c>
    </row>
    <row r="114" spans="10:11">
      <c r="J114" t="s">
        <v>129</v>
      </c>
      <c r="K114" t="s">
        <v>129</v>
      </c>
    </row>
    <row r="115" spans="10:11">
      <c r="J115" t="s">
        <v>130</v>
      </c>
      <c r="K115" t="s">
        <v>130</v>
      </c>
    </row>
    <row r="116" spans="10:11">
      <c r="J116" t="s">
        <v>131</v>
      </c>
      <c r="K116" t="s">
        <v>131</v>
      </c>
    </row>
    <row r="117" spans="10:11">
      <c r="J117" t="s">
        <v>132</v>
      </c>
      <c r="K117" t="s">
        <v>133</v>
      </c>
    </row>
    <row r="118" spans="10:11">
      <c r="J118" t="s">
        <v>133</v>
      </c>
      <c r="K118" t="s">
        <v>132</v>
      </c>
    </row>
    <row r="119" spans="10:11">
      <c r="J119" t="s">
        <v>134</v>
      </c>
      <c r="K119" t="s">
        <v>134</v>
      </c>
    </row>
    <row r="120" spans="10:11">
      <c r="J120" t="s">
        <v>135</v>
      </c>
      <c r="K120" t="s">
        <v>135</v>
      </c>
    </row>
    <row r="121" spans="10:11">
      <c r="J121" t="s">
        <v>136</v>
      </c>
      <c r="K121" t="s">
        <v>136</v>
      </c>
    </row>
    <row r="122" spans="10:11">
      <c r="J122" t="s">
        <v>137</v>
      </c>
      <c r="K122" t="s">
        <v>137</v>
      </c>
    </row>
    <row r="123" spans="10:11">
      <c r="J123" t="s">
        <v>138</v>
      </c>
      <c r="K123" t="s">
        <v>138</v>
      </c>
    </row>
    <row r="124" spans="10:11">
      <c r="J124" t="s">
        <v>139</v>
      </c>
      <c r="K124" t="s">
        <v>140</v>
      </c>
    </row>
    <row r="125" spans="10:11">
      <c r="J125" t="s">
        <v>140</v>
      </c>
      <c r="K125" t="s">
        <v>139</v>
      </c>
    </row>
    <row r="126" spans="10:11">
      <c r="J126" t="s">
        <v>141</v>
      </c>
      <c r="K126" t="s">
        <v>141</v>
      </c>
    </row>
    <row r="127" spans="10:11">
      <c r="J127" t="s">
        <v>142</v>
      </c>
      <c r="K127" t="s">
        <v>143</v>
      </c>
    </row>
    <row r="128" spans="10:11">
      <c r="J128" t="s">
        <v>143</v>
      </c>
      <c r="K128" t="s">
        <v>144</v>
      </c>
    </row>
    <row r="129" spans="10:11">
      <c r="J129" t="s">
        <v>144</v>
      </c>
      <c r="K129" t="s">
        <v>142</v>
      </c>
    </row>
    <row r="130" spans="10:11">
      <c r="J130" t="s">
        <v>145</v>
      </c>
      <c r="K130" t="s">
        <v>145</v>
      </c>
    </row>
    <row r="131" spans="10:11">
      <c r="J131" t="s">
        <v>146</v>
      </c>
      <c r="K131" t="s">
        <v>146</v>
      </c>
    </row>
    <row r="132" spans="10:11">
      <c r="J132" t="s">
        <v>147</v>
      </c>
      <c r="K132" t="s">
        <v>147</v>
      </c>
    </row>
    <row r="133" spans="10:11">
      <c r="J133" t="s">
        <v>148</v>
      </c>
      <c r="K133" t="s">
        <v>148</v>
      </c>
    </row>
    <row r="134" spans="10:11">
      <c r="J134" t="s">
        <v>149</v>
      </c>
      <c r="K134" t="s">
        <v>149</v>
      </c>
    </row>
    <row r="135" spans="10:11">
      <c r="J135" t="s">
        <v>150</v>
      </c>
      <c r="K135" t="s">
        <v>150</v>
      </c>
    </row>
    <row r="136" spans="10:11">
      <c r="J136" t="s">
        <v>151</v>
      </c>
      <c r="K136" t="s">
        <v>151</v>
      </c>
    </row>
    <row r="137" spans="10:11">
      <c r="J137" s="3" t="s">
        <v>152</v>
      </c>
    </row>
    <row r="138" spans="10:11">
      <c r="J138" t="s">
        <v>153</v>
      </c>
      <c r="K138" t="s">
        <v>153</v>
      </c>
    </row>
  </sheetData>
  <conditionalFormatting sqref="J1:K136 J137 J138:K1048576">
    <cfRule type="duplicateValues" dxfId="0" priority="1"/>
  </conditionalFormatting>
  <pageMargins left="0.7" right="0.7" top="0.75" bottom="0.75" header="0.3" footer="0.3"/>
  <pageSetup paperSize="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CF172-694B-45CD-A78D-B6FE81A8F08F}">
  <dimension ref="A1:C7"/>
  <sheetViews>
    <sheetView workbookViewId="0">
      <selection activeCell="N33" sqref="N33"/>
    </sheetView>
  </sheetViews>
  <sheetFormatPr defaultRowHeight="14.4"/>
  <cols>
    <col min="1" max="1" width="17.33203125" bestFit="1" customWidth="1"/>
    <col min="2" max="2" width="12.21875" bestFit="1" customWidth="1"/>
    <col min="3" max="3" width="14.44140625" bestFit="1" customWidth="1"/>
  </cols>
  <sheetData>
    <row r="1" spans="1:3" s="2" customFormat="1">
      <c r="A1" s="2" t="s">
        <v>353</v>
      </c>
      <c r="B1" s="2" t="s">
        <v>0</v>
      </c>
      <c r="C1" s="2" t="s">
        <v>1</v>
      </c>
    </row>
    <row r="2" spans="1:3">
      <c r="A2" t="s">
        <v>354</v>
      </c>
      <c r="B2" t="s">
        <v>13</v>
      </c>
      <c r="C2">
        <v>71</v>
      </c>
    </row>
    <row r="3" spans="1:3">
      <c r="A3" t="s">
        <v>355</v>
      </c>
      <c r="B3" t="s">
        <v>169</v>
      </c>
      <c r="C3">
        <v>71</v>
      </c>
    </row>
    <row r="4" spans="1:3">
      <c r="A4" t="s">
        <v>356</v>
      </c>
      <c r="B4" t="s">
        <v>2</v>
      </c>
      <c r="C4">
        <v>1</v>
      </c>
    </row>
    <row r="5" spans="1:3">
      <c r="A5" t="s">
        <v>356</v>
      </c>
      <c r="B5" t="s">
        <v>357</v>
      </c>
      <c r="C5">
        <v>1</v>
      </c>
    </row>
    <row r="6" spans="1:3">
      <c r="A6" t="s">
        <v>356</v>
      </c>
      <c r="B6" t="s">
        <v>169</v>
      </c>
      <c r="C6">
        <v>121</v>
      </c>
    </row>
    <row r="7" spans="1:3">
      <c r="A7" t="s">
        <v>356</v>
      </c>
      <c r="B7" t="s">
        <v>9</v>
      </c>
      <c r="C7">
        <v>1</v>
      </c>
    </row>
  </sheetData>
  <pageMargins left="0.7" right="0.7" top="0.75" bottom="0.75" header="0.3" footer="0.3"/>
  <pageSetup paperSize="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3AE1C-876D-496D-B390-116C40E3EE4A}">
  <dimension ref="A1:D34"/>
  <sheetViews>
    <sheetView topLeftCell="A19" workbookViewId="0">
      <selection activeCell="A26" sqref="A26"/>
    </sheetView>
  </sheetViews>
  <sheetFormatPr defaultRowHeight="14.4"/>
  <cols>
    <col min="1" max="1" width="42.21875" bestFit="1" customWidth="1"/>
    <col min="2" max="2" width="39.88671875" customWidth="1"/>
    <col min="4" max="4" width="37.21875" customWidth="1"/>
  </cols>
  <sheetData>
    <row r="1" spans="1:4" ht="17.399999999999999" thickBot="1">
      <c r="A1" s="6" t="s">
        <v>358</v>
      </c>
      <c r="B1" s="6" t="s">
        <v>359</v>
      </c>
      <c r="D1" s="6" t="s">
        <v>370</v>
      </c>
    </row>
    <row r="2" spans="1:4" ht="17.399999999999999" thickBot="1">
      <c r="A2" s="6" t="s">
        <v>360</v>
      </c>
      <c r="B2" s="7" t="s">
        <v>361</v>
      </c>
      <c r="D2" s="7" t="s">
        <v>362</v>
      </c>
    </row>
    <row r="3" spans="1:4" ht="17.399999999999999" thickBot="1">
      <c r="A3" s="7"/>
      <c r="B3" s="7" t="s">
        <v>362</v>
      </c>
      <c r="D3" s="7" t="s">
        <v>363</v>
      </c>
    </row>
    <row r="4" spans="1:4" ht="17.399999999999999" thickBot="1">
      <c r="A4" s="7"/>
      <c r="B4" s="7" t="s">
        <v>363</v>
      </c>
      <c r="D4" s="7" t="s">
        <v>364</v>
      </c>
    </row>
    <row r="5" spans="1:4" ht="17.399999999999999" thickBot="1">
      <c r="A5" s="7"/>
      <c r="B5" s="7" t="s">
        <v>364</v>
      </c>
      <c r="D5" s="7" t="s">
        <v>365</v>
      </c>
    </row>
    <row r="6" spans="1:4" ht="17.399999999999999" thickBot="1">
      <c r="A6" s="7"/>
      <c r="B6" s="7" t="s">
        <v>365</v>
      </c>
      <c r="D6" s="7" t="s">
        <v>366</v>
      </c>
    </row>
    <row r="7" spans="1:4" ht="17.399999999999999" thickBot="1">
      <c r="A7" s="7"/>
      <c r="B7" s="7" t="s">
        <v>366</v>
      </c>
      <c r="D7" s="7" t="s">
        <v>369</v>
      </c>
    </row>
    <row r="8" spans="1:4" ht="17.399999999999999" thickBot="1">
      <c r="A8" s="7"/>
      <c r="B8" s="7" t="s">
        <v>367</v>
      </c>
      <c r="D8" s="7" t="s">
        <v>367</v>
      </c>
    </row>
    <row r="9" spans="1:4" ht="17.399999999999999" thickBot="1">
      <c r="A9" s="7"/>
      <c r="B9" s="7" t="s">
        <v>368</v>
      </c>
      <c r="D9" s="7" t="s">
        <v>368</v>
      </c>
    </row>
    <row r="10" spans="1:4" ht="17.399999999999999" thickBot="1">
      <c r="A10" s="7"/>
      <c r="B10" s="7" t="s">
        <v>354</v>
      </c>
    </row>
    <row r="11" spans="1:4" ht="17.399999999999999" thickBot="1">
      <c r="A11" s="7"/>
      <c r="B11" s="7" t="s">
        <v>356</v>
      </c>
    </row>
    <row r="12" spans="1:4" ht="17.399999999999999" thickBot="1">
      <c r="A12" s="6" t="s">
        <v>354</v>
      </c>
      <c r="B12" s="7" t="s">
        <v>369</v>
      </c>
    </row>
    <row r="13" spans="1:4" ht="17.399999999999999" thickBot="1">
      <c r="A13" s="7"/>
      <c r="B13" s="7" t="s">
        <v>355</v>
      </c>
    </row>
    <row r="18" spans="1:2" ht="16.8">
      <c r="A18" s="9" t="s">
        <v>371</v>
      </c>
    </row>
    <row r="19" spans="1:2" ht="15" thickBot="1">
      <c r="A19" s="8"/>
    </row>
    <row r="20" spans="1:2" ht="17.399999999999999" thickBot="1">
      <c r="A20" s="6" t="s">
        <v>372</v>
      </c>
    </row>
    <row r="21" spans="1:2" ht="17.399999999999999" thickBot="1">
      <c r="A21" s="7" t="s">
        <v>361</v>
      </c>
    </row>
    <row r="22" spans="1:2" ht="17.399999999999999" thickBot="1">
      <c r="A22" s="7" t="s">
        <v>354</v>
      </c>
    </row>
    <row r="23" spans="1:2" ht="17.399999999999999" thickBot="1">
      <c r="A23" s="7" t="s">
        <v>355</v>
      </c>
    </row>
    <row r="24" spans="1:2" ht="17.399999999999999" thickBot="1">
      <c r="A24" s="7" t="s">
        <v>356</v>
      </c>
    </row>
    <row r="26" spans="1:2" ht="17.399999999999999" thickBot="1">
      <c r="A26" s="9" t="s">
        <v>373</v>
      </c>
    </row>
    <row r="27" spans="1:2" ht="17.399999999999999" thickBot="1">
      <c r="A27" s="7" t="s">
        <v>374</v>
      </c>
      <c r="B27" s="9"/>
    </row>
    <row r="28" spans="1:2" ht="17.399999999999999" thickBot="1">
      <c r="A28" s="7" t="s">
        <v>375</v>
      </c>
    </row>
    <row r="29" spans="1:2" ht="17.399999999999999" thickBot="1">
      <c r="A29" s="7" t="s">
        <v>376</v>
      </c>
    </row>
    <row r="30" spans="1:2" ht="17.399999999999999" thickBot="1">
      <c r="A30" s="7" t="s">
        <v>377</v>
      </c>
    </row>
    <row r="31" spans="1:2" ht="17.399999999999999" thickBot="1">
      <c r="A31" s="7" t="s">
        <v>378</v>
      </c>
    </row>
    <row r="32" spans="1:2" ht="17.399999999999999" thickBot="1">
      <c r="A32" s="7" t="s">
        <v>379</v>
      </c>
    </row>
    <row r="33" spans="1:1" ht="17.399999999999999" thickBot="1">
      <c r="A33" s="7" t="s">
        <v>355</v>
      </c>
    </row>
    <row r="34" spans="1:1" ht="17.399999999999999" thickBot="1">
      <c r="A34" s="7" t="s">
        <v>356</v>
      </c>
    </row>
  </sheetData>
  <pageMargins left="0.7" right="0.7" top="0.75" bottom="0.75" header="0.3" footer="0.3"/>
  <pageSetup paperSize="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F29F6-8EE4-41B4-8358-D110ADCD6244}">
  <dimension ref="A1:W183"/>
  <sheetViews>
    <sheetView topLeftCell="A166" workbookViewId="0">
      <selection activeCell="A178" sqref="A178"/>
    </sheetView>
  </sheetViews>
  <sheetFormatPr defaultRowHeight="14.4"/>
  <cols>
    <col min="1" max="1" width="18.88671875" customWidth="1"/>
    <col min="12" max="12" width="20.21875" customWidth="1"/>
  </cols>
  <sheetData>
    <row r="1" spans="1:23">
      <c r="A1" t="s">
        <v>16</v>
      </c>
      <c r="B1" t="s">
        <v>334</v>
      </c>
      <c r="C1" t="s">
        <v>335</v>
      </c>
      <c r="D1" t="s">
        <v>336</v>
      </c>
      <c r="E1" t="s">
        <v>337</v>
      </c>
      <c r="F1" t="s">
        <v>338</v>
      </c>
      <c r="G1" t="s">
        <v>339</v>
      </c>
      <c r="H1" t="s">
        <v>340</v>
      </c>
      <c r="I1" t="s">
        <v>341</v>
      </c>
      <c r="J1" t="s">
        <v>342</v>
      </c>
      <c r="L1" t="s">
        <v>154</v>
      </c>
      <c r="M1" t="s">
        <v>344</v>
      </c>
      <c r="N1" t="s">
        <v>345</v>
      </c>
      <c r="O1" t="s">
        <v>346</v>
      </c>
      <c r="P1" t="s">
        <v>347</v>
      </c>
      <c r="Q1" t="s">
        <v>348</v>
      </c>
      <c r="R1" t="s">
        <v>349</v>
      </c>
      <c r="S1" t="s">
        <v>351</v>
      </c>
      <c r="T1" t="s">
        <v>352</v>
      </c>
      <c r="U1" t="s">
        <v>350</v>
      </c>
      <c r="W1" t="s">
        <v>332</v>
      </c>
    </row>
    <row r="2" spans="1:23">
      <c r="A2" t="s">
        <v>170</v>
      </c>
      <c r="B2">
        <v>39</v>
      </c>
      <c r="C2">
        <v>7</v>
      </c>
      <c r="D2">
        <v>18</v>
      </c>
      <c r="E2">
        <v>6</v>
      </c>
      <c r="F2">
        <v>6</v>
      </c>
      <c r="G2">
        <v>2</v>
      </c>
      <c r="H2">
        <v>0</v>
      </c>
      <c r="I2">
        <v>0</v>
      </c>
      <c r="J2">
        <v>0</v>
      </c>
      <c r="L2" t="s">
        <v>170</v>
      </c>
      <c r="M2">
        <v>40</v>
      </c>
      <c r="N2">
        <v>7</v>
      </c>
      <c r="O2">
        <v>19</v>
      </c>
      <c r="P2">
        <v>6</v>
      </c>
      <c r="Q2">
        <v>8</v>
      </c>
      <c r="R2">
        <v>0</v>
      </c>
      <c r="S2">
        <v>0</v>
      </c>
      <c r="T2">
        <v>0</v>
      </c>
      <c r="U2">
        <v>0</v>
      </c>
      <c r="W2">
        <f>B2-M2</f>
        <v>-1</v>
      </c>
    </row>
    <row r="3" spans="1:23">
      <c r="A3" t="s">
        <v>171</v>
      </c>
      <c r="B3">
        <v>40</v>
      </c>
      <c r="C3">
        <v>8</v>
      </c>
      <c r="D3">
        <v>17</v>
      </c>
      <c r="E3">
        <v>6</v>
      </c>
      <c r="F3">
        <v>6</v>
      </c>
      <c r="G3">
        <v>3</v>
      </c>
      <c r="H3">
        <v>0</v>
      </c>
      <c r="I3">
        <v>0</v>
      </c>
      <c r="J3">
        <v>0</v>
      </c>
      <c r="L3" t="s">
        <v>171</v>
      </c>
      <c r="M3">
        <v>40</v>
      </c>
      <c r="N3">
        <v>8</v>
      </c>
      <c r="O3">
        <v>17</v>
      </c>
      <c r="P3">
        <v>6</v>
      </c>
      <c r="Q3">
        <v>9</v>
      </c>
      <c r="R3">
        <v>0</v>
      </c>
      <c r="S3">
        <v>0</v>
      </c>
      <c r="T3">
        <v>0</v>
      </c>
      <c r="U3">
        <v>0</v>
      </c>
      <c r="W3">
        <f t="shared" ref="W3:W66" si="0">B3-M3</f>
        <v>0</v>
      </c>
    </row>
    <row r="4" spans="1:23">
      <c r="A4" t="s">
        <v>173</v>
      </c>
      <c r="B4">
        <v>5</v>
      </c>
      <c r="C4">
        <v>3</v>
      </c>
      <c r="D4">
        <v>1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L4" t="s">
        <v>173</v>
      </c>
      <c r="M4">
        <v>5</v>
      </c>
      <c r="N4">
        <v>3</v>
      </c>
      <c r="O4">
        <v>1</v>
      </c>
      <c r="P4">
        <v>0</v>
      </c>
      <c r="Q4">
        <v>1</v>
      </c>
      <c r="R4">
        <v>0</v>
      </c>
      <c r="S4">
        <v>0</v>
      </c>
      <c r="T4">
        <v>0</v>
      </c>
      <c r="U4">
        <v>0</v>
      </c>
      <c r="W4">
        <f t="shared" si="0"/>
        <v>0</v>
      </c>
    </row>
    <row r="5" spans="1:23">
      <c r="A5" t="s">
        <v>174</v>
      </c>
      <c r="B5">
        <v>18</v>
      </c>
      <c r="C5">
        <v>5</v>
      </c>
      <c r="D5">
        <v>3</v>
      </c>
      <c r="E5">
        <v>7</v>
      </c>
      <c r="F5">
        <v>3</v>
      </c>
      <c r="G5">
        <v>0</v>
      </c>
      <c r="H5">
        <v>0</v>
      </c>
      <c r="I5">
        <v>0</v>
      </c>
      <c r="J5">
        <v>0</v>
      </c>
      <c r="L5" t="s">
        <v>174</v>
      </c>
      <c r="M5">
        <v>18</v>
      </c>
      <c r="N5">
        <v>5</v>
      </c>
      <c r="O5">
        <v>3</v>
      </c>
      <c r="P5">
        <v>7</v>
      </c>
      <c r="Q5">
        <v>3</v>
      </c>
      <c r="R5">
        <v>0</v>
      </c>
      <c r="S5">
        <v>0</v>
      </c>
      <c r="T5">
        <v>0</v>
      </c>
      <c r="U5">
        <v>0</v>
      </c>
      <c r="W5">
        <f t="shared" si="0"/>
        <v>0</v>
      </c>
    </row>
    <row r="6" spans="1:23">
      <c r="A6" t="s">
        <v>175</v>
      </c>
      <c r="B6">
        <v>20</v>
      </c>
      <c r="C6">
        <v>6</v>
      </c>
      <c r="D6">
        <v>3</v>
      </c>
      <c r="E6">
        <v>7</v>
      </c>
      <c r="F6">
        <v>3</v>
      </c>
      <c r="G6">
        <v>1</v>
      </c>
      <c r="H6">
        <v>0</v>
      </c>
      <c r="I6">
        <v>0</v>
      </c>
      <c r="J6">
        <v>0</v>
      </c>
      <c r="L6" t="s">
        <v>175</v>
      </c>
      <c r="M6">
        <v>20</v>
      </c>
      <c r="N6">
        <v>6</v>
      </c>
      <c r="O6">
        <v>3</v>
      </c>
      <c r="P6">
        <v>7</v>
      </c>
      <c r="Q6">
        <v>4</v>
      </c>
      <c r="R6">
        <v>0</v>
      </c>
      <c r="S6">
        <v>0</v>
      </c>
      <c r="T6">
        <v>0</v>
      </c>
      <c r="U6">
        <v>0</v>
      </c>
      <c r="W6">
        <f t="shared" si="0"/>
        <v>0</v>
      </c>
    </row>
    <row r="7" spans="1:23">
      <c r="A7" t="s">
        <v>176</v>
      </c>
      <c r="B7">
        <v>27</v>
      </c>
      <c r="C7">
        <v>4</v>
      </c>
      <c r="D7">
        <v>20</v>
      </c>
      <c r="E7">
        <v>1</v>
      </c>
      <c r="F7">
        <v>2</v>
      </c>
      <c r="G7">
        <v>0</v>
      </c>
      <c r="H7">
        <v>0</v>
      </c>
      <c r="I7">
        <v>0</v>
      </c>
      <c r="J7">
        <v>0</v>
      </c>
      <c r="L7" t="s">
        <v>176</v>
      </c>
      <c r="M7">
        <v>27</v>
      </c>
      <c r="N7">
        <v>4</v>
      </c>
      <c r="O7">
        <v>20</v>
      </c>
      <c r="P7">
        <v>1</v>
      </c>
      <c r="Q7">
        <v>2</v>
      </c>
      <c r="R7">
        <v>0</v>
      </c>
      <c r="S7">
        <v>0</v>
      </c>
      <c r="T7">
        <v>0</v>
      </c>
      <c r="U7">
        <v>0</v>
      </c>
      <c r="W7">
        <f t="shared" si="0"/>
        <v>0</v>
      </c>
    </row>
    <row r="8" spans="1:23">
      <c r="A8" t="s">
        <v>177</v>
      </c>
      <c r="B8">
        <v>29</v>
      </c>
      <c r="C8">
        <v>5</v>
      </c>
      <c r="D8">
        <v>20</v>
      </c>
      <c r="E8">
        <v>1</v>
      </c>
      <c r="F8">
        <v>2</v>
      </c>
      <c r="G8">
        <v>1</v>
      </c>
      <c r="H8">
        <v>0</v>
      </c>
      <c r="I8">
        <v>0</v>
      </c>
      <c r="J8">
        <v>0</v>
      </c>
      <c r="L8" t="s">
        <v>177</v>
      </c>
      <c r="M8">
        <v>29</v>
      </c>
      <c r="N8">
        <v>5</v>
      </c>
      <c r="O8">
        <v>20</v>
      </c>
      <c r="P8">
        <v>1</v>
      </c>
      <c r="Q8">
        <v>3</v>
      </c>
      <c r="R8">
        <v>0</v>
      </c>
      <c r="S8">
        <v>0</v>
      </c>
      <c r="T8">
        <v>0</v>
      </c>
      <c r="U8">
        <v>0</v>
      </c>
      <c r="W8">
        <f t="shared" si="0"/>
        <v>0</v>
      </c>
    </row>
    <row r="9" spans="1:23">
      <c r="A9" t="s">
        <v>178</v>
      </c>
      <c r="B9">
        <v>29</v>
      </c>
      <c r="C9">
        <v>9</v>
      </c>
      <c r="D9">
        <v>15</v>
      </c>
      <c r="E9">
        <v>0</v>
      </c>
      <c r="F9">
        <v>0</v>
      </c>
      <c r="G9">
        <v>5</v>
      </c>
      <c r="H9">
        <v>0</v>
      </c>
      <c r="I9">
        <v>0</v>
      </c>
      <c r="J9">
        <v>0</v>
      </c>
      <c r="L9" t="s">
        <v>178</v>
      </c>
      <c r="M9">
        <v>29</v>
      </c>
      <c r="N9">
        <v>9</v>
      </c>
      <c r="O9">
        <v>15</v>
      </c>
      <c r="P9">
        <v>0</v>
      </c>
      <c r="Q9">
        <v>5</v>
      </c>
      <c r="R9">
        <v>0</v>
      </c>
      <c r="S9">
        <v>0</v>
      </c>
      <c r="T9">
        <v>0</v>
      </c>
      <c r="U9">
        <v>0</v>
      </c>
      <c r="W9">
        <f t="shared" si="0"/>
        <v>0</v>
      </c>
    </row>
    <row r="10" spans="1:23">
      <c r="A10" t="s">
        <v>20</v>
      </c>
      <c r="B10">
        <v>8</v>
      </c>
      <c r="C10">
        <v>2</v>
      </c>
      <c r="D10">
        <v>5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L10" t="s">
        <v>20</v>
      </c>
      <c r="M10">
        <v>8</v>
      </c>
      <c r="N10">
        <v>2</v>
      </c>
      <c r="O10">
        <v>5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W10">
        <f t="shared" si="0"/>
        <v>0</v>
      </c>
    </row>
    <row r="11" spans="1:23">
      <c r="A11" t="s">
        <v>179</v>
      </c>
      <c r="B11">
        <v>6</v>
      </c>
      <c r="C11">
        <v>3</v>
      </c>
      <c r="D11">
        <v>1</v>
      </c>
      <c r="E11">
        <v>0</v>
      </c>
      <c r="F11">
        <v>0</v>
      </c>
      <c r="G11">
        <v>1</v>
      </c>
      <c r="H11">
        <v>0</v>
      </c>
      <c r="I11">
        <v>1</v>
      </c>
      <c r="J11">
        <v>0</v>
      </c>
      <c r="L11" t="s">
        <v>179</v>
      </c>
      <c r="M11">
        <v>6</v>
      </c>
      <c r="N11">
        <v>3</v>
      </c>
      <c r="O11">
        <v>1</v>
      </c>
      <c r="P11">
        <v>0</v>
      </c>
      <c r="Q11">
        <v>1</v>
      </c>
      <c r="R11">
        <v>0</v>
      </c>
      <c r="S11">
        <v>0</v>
      </c>
      <c r="T11">
        <v>1</v>
      </c>
      <c r="U11">
        <v>0</v>
      </c>
      <c r="W11">
        <f t="shared" si="0"/>
        <v>0</v>
      </c>
    </row>
    <row r="12" spans="1:23">
      <c r="A12" t="s">
        <v>180</v>
      </c>
      <c r="B12">
        <v>7</v>
      </c>
      <c r="C12">
        <v>2</v>
      </c>
      <c r="D12">
        <v>4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L12" t="s">
        <v>180</v>
      </c>
      <c r="M12">
        <v>7</v>
      </c>
      <c r="N12">
        <v>2</v>
      </c>
      <c r="O12">
        <v>4</v>
      </c>
      <c r="P12">
        <v>0</v>
      </c>
      <c r="Q12">
        <v>1</v>
      </c>
      <c r="R12">
        <v>0</v>
      </c>
      <c r="S12">
        <v>0</v>
      </c>
      <c r="T12">
        <v>0</v>
      </c>
      <c r="U12">
        <v>0</v>
      </c>
      <c r="W12">
        <f t="shared" si="0"/>
        <v>0</v>
      </c>
    </row>
    <row r="13" spans="1:23">
      <c r="A13" t="s">
        <v>181</v>
      </c>
      <c r="B13">
        <v>6</v>
      </c>
      <c r="C13">
        <v>4</v>
      </c>
      <c r="D13">
        <v>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L13" t="s">
        <v>181</v>
      </c>
      <c r="M13">
        <v>6</v>
      </c>
      <c r="N13">
        <v>4</v>
      </c>
      <c r="O13">
        <v>2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W13">
        <f t="shared" si="0"/>
        <v>0</v>
      </c>
    </row>
    <row r="14" spans="1:23">
      <c r="A14" t="s">
        <v>182</v>
      </c>
      <c r="B14">
        <v>2</v>
      </c>
      <c r="C14">
        <v>0</v>
      </c>
      <c r="D14">
        <v>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L14" t="s">
        <v>182</v>
      </c>
      <c r="M14">
        <v>2</v>
      </c>
      <c r="N14">
        <v>0</v>
      </c>
      <c r="O14">
        <v>2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W14">
        <f t="shared" si="0"/>
        <v>0</v>
      </c>
    </row>
    <row r="15" spans="1:23">
      <c r="A15" t="s">
        <v>183</v>
      </c>
      <c r="B15">
        <v>7</v>
      </c>
      <c r="C15">
        <v>2</v>
      </c>
      <c r="D15">
        <v>4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L15" t="s">
        <v>183</v>
      </c>
      <c r="M15">
        <v>7</v>
      </c>
      <c r="N15">
        <v>1</v>
      </c>
      <c r="O15">
        <v>5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W15">
        <f t="shared" si="0"/>
        <v>0</v>
      </c>
    </row>
    <row r="16" spans="1:23">
      <c r="A16" t="s">
        <v>184</v>
      </c>
      <c r="B16">
        <v>24</v>
      </c>
      <c r="C16">
        <v>4</v>
      </c>
      <c r="D16">
        <v>13</v>
      </c>
      <c r="E16">
        <v>3</v>
      </c>
      <c r="F16">
        <v>4</v>
      </c>
      <c r="G16">
        <v>0</v>
      </c>
      <c r="H16">
        <v>0</v>
      </c>
      <c r="I16">
        <v>0</v>
      </c>
      <c r="J16">
        <v>0</v>
      </c>
      <c r="L16" t="s">
        <v>184</v>
      </c>
      <c r="M16">
        <v>24</v>
      </c>
      <c r="N16">
        <v>4</v>
      </c>
      <c r="O16">
        <v>13</v>
      </c>
      <c r="P16">
        <v>3</v>
      </c>
      <c r="Q16">
        <v>4</v>
      </c>
      <c r="R16">
        <v>0</v>
      </c>
      <c r="S16">
        <v>0</v>
      </c>
      <c r="T16">
        <v>0</v>
      </c>
      <c r="U16">
        <v>0</v>
      </c>
      <c r="W16">
        <f t="shared" si="0"/>
        <v>0</v>
      </c>
    </row>
    <row r="17" spans="1:23">
      <c r="A17" t="s">
        <v>185</v>
      </c>
      <c r="B17">
        <v>26</v>
      </c>
      <c r="C17">
        <v>5</v>
      </c>
      <c r="D17">
        <v>13</v>
      </c>
      <c r="E17">
        <v>3</v>
      </c>
      <c r="F17">
        <v>4</v>
      </c>
      <c r="G17">
        <v>1</v>
      </c>
      <c r="H17">
        <v>0</v>
      </c>
      <c r="I17">
        <v>0</v>
      </c>
      <c r="J17">
        <v>0</v>
      </c>
      <c r="L17" t="s">
        <v>185</v>
      </c>
      <c r="M17">
        <v>26</v>
      </c>
      <c r="N17">
        <v>5</v>
      </c>
      <c r="O17">
        <v>13</v>
      </c>
      <c r="P17">
        <v>3</v>
      </c>
      <c r="Q17">
        <v>5</v>
      </c>
      <c r="R17">
        <v>0</v>
      </c>
      <c r="S17">
        <v>0</v>
      </c>
      <c r="T17">
        <v>0</v>
      </c>
      <c r="U17">
        <v>0</v>
      </c>
      <c r="W17">
        <f t="shared" si="0"/>
        <v>0</v>
      </c>
    </row>
    <row r="18" spans="1:23">
      <c r="A18" t="s">
        <v>186</v>
      </c>
      <c r="B18">
        <v>2</v>
      </c>
      <c r="C18">
        <v>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L18" t="s">
        <v>186</v>
      </c>
      <c r="M18">
        <v>2</v>
      </c>
      <c r="N18">
        <v>2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W18">
        <f t="shared" si="0"/>
        <v>0</v>
      </c>
    </row>
    <row r="19" spans="1:23">
      <c r="A19" t="s">
        <v>187</v>
      </c>
      <c r="B19">
        <v>7</v>
      </c>
      <c r="C19">
        <v>1</v>
      </c>
      <c r="D19">
        <v>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L19" t="s">
        <v>187</v>
      </c>
      <c r="M19">
        <v>7</v>
      </c>
      <c r="N19">
        <v>1</v>
      </c>
      <c r="O19">
        <v>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W19">
        <f t="shared" si="0"/>
        <v>0</v>
      </c>
    </row>
    <row r="20" spans="1:23">
      <c r="A20" t="s">
        <v>188</v>
      </c>
      <c r="B20">
        <v>7</v>
      </c>
      <c r="C20">
        <v>3</v>
      </c>
      <c r="D20">
        <v>1</v>
      </c>
      <c r="E20">
        <v>1</v>
      </c>
      <c r="F20">
        <v>2</v>
      </c>
      <c r="G20">
        <v>0</v>
      </c>
      <c r="H20">
        <v>0</v>
      </c>
      <c r="I20">
        <v>0</v>
      </c>
      <c r="J20">
        <v>0</v>
      </c>
      <c r="L20" t="s">
        <v>188</v>
      </c>
      <c r="M20">
        <v>7</v>
      </c>
      <c r="N20">
        <v>3</v>
      </c>
      <c r="O20">
        <v>1</v>
      </c>
      <c r="P20">
        <v>1</v>
      </c>
      <c r="Q20">
        <v>2</v>
      </c>
      <c r="R20">
        <v>0</v>
      </c>
      <c r="S20">
        <v>0</v>
      </c>
      <c r="T20">
        <v>0</v>
      </c>
      <c r="U20">
        <v>0</v>
      </c>
      <c r="W20">
        <f t="shared" si="0"/>
        <v>0</v>
      </c>
    </row>
    <row r="21" spans="1:23">
      <c r="A21" t="s">
        <v>189</v>
      </c>
      <c r="B21">
        <v>9</v>
      </c>
      <c r="C21">
        <v>4</v>
      </c>
      <c r="D21">
        <v>1</v>
      </c>
      <c r="E21">
        <v>1</v>
      </c>
      <c r="F21">
        <v>2</v>
      </c>
      <c r="G21">
        <v>1</v>
      </c>
      <c r="H21">
        <v>0</v>
      </c>
      <c r="I21">
        <v>0</v>
      </c>
      <c r="J21">
        <v>0</v>
      </c>
      <c r="L21" t="s">
        <v>189</v>
      </c>
      <c r="M21">
        <v>9</v>
      </c>
      <c r="N21">
        <v>4</v>
      </c>
      <c r="O21">
        <v>1</v>
      </c>
      <c r="P21">
        <v>1</v>
      </c>
      <c r="Q21">
        <v>3</v>
      </c>
      <c r="R21">
        <v>0</v>
      </c>
      <c r="S21">
        <v>0</v>
      </c>
      <c r="T21">
        <v>0</v>
      </c>
      <c r="U21">
        <v>0</v>
      </c>
      <c r="W21">
        <f t="shared" si="0"/>
        <v>0</v>
      </c>
    </row>
    <row r="22" spans="1:23">
      <c r="A22" t="s">
        <v>190</v>
      </c>
      <c r="B22">
        <v>7</v>
      </c>
      <c r="C22">
        <v>4</v>
      </c>
      <c r="D22">
        <v>1</v>
      </c>
      <c r="E22">
        <v>0</v>
      </c>
      <c r="F22">
        <v>0</v>
      </c>
      <c r="G22">
        <v>2</v>
      </c>
      <c r="H22">
        <v>0</v>
      </c>
      <c r="I22">
        <v>0</v>
      </c>
      <c r="J22">
        <v>0</v>
      </c>
      <c r="L22" t="s">
        <v>190</v>
      </c>
      <c r="M22">
        <v>7</v>
      </c>
      <c r="N22">
        <v>4</v>
      </c>
      <c r="O22">
        <v>1</v>
      </c>
      <c r="P22">
        <v>0</v>
      </c>
      <c r="Q22">
        <v>2</v>
      </c>
      <c r="R22">
        <v>0</v>
      </c>
      <c r="S22">
        <v>0</v>
      </c>
      <c r="T22">
        <v>0</v>
      </c>
      <c r="U22">
        <v>0</v>
      </c>
      <c r="W22">
        <f t="shared" si="0"/>
        <v>0</v>
      </c>
    </row>
    <row r="23" spans="1:23">
      <c r="A23" t="s">
        <v>191</v>
      </c>
      <c r="B23">
        <v>12</v>
      </c>
      <c r="C23">
        <v>8</v>
      </c>
      <c r="D23">
        <v>3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L23" t="s">
        <v>191</v>
      </c>
      <c r="M23">
        <v>12</v>
      </c>
      <c r="N23">
        <v>8</v>
      </c>
      <c r="O23">
        <v>3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W23">
        <f t="shared" si="0"/>
        <v>0</v>
      </c>
    </row>
    <row r="24" spans="1:23">
      <c r="A24" t="s">
        <v>192</v>
      </c>
      <c r="B24">
        <v>14</v>
      </c>
      <c r="C24">
        <v>9</v>
      </c>
      <c r="D24">
        <v>3</v>
      </c>
      <c r="E24">
        <v>0</v>
      </c>
      <c r="F24">
        <v>1</v>
      </c>
      <c r="G24">
        <v>1</v>
      </c>
      <c r="H24">
        <v>0</v>
      </c>
      <c r="I24">
        <v>0</v>
      </c>
      <c r="J24">
        <v>0</v>
      </c>
      <c r="L24" t="s">
        <v>192</v>
      </c>
      <c r="M24">
        <v>14</v>
      </c>
      <c r="N24">
        <v>9</v>
      </c>
      <c r="O24">
        <v>3</v>
      </c>
      <c r="P24">
        <v>0</v>
      </c>
      <c r="Q24">
        <v>2</v>
      </c>
      <c r="R24">
        <v>0</v>
      </c>
      <c r="S24">
        <v>0</v>
      </c>
      <c r="T24">
        <v>0</v>
      </c>
      <c r="U24">
        <v>0</v>
      </c>
      <c r="W24">
        <f t="shared" si="0"/>
        <v>0</v>
      </c>
    </row>
    <row r="25" spans="1:23">
      <c r="A25" t="s">
        <v>193</v>
      </c>
      <c r="B25">
        <v>9</v>
      </c>
      <c r="C25">
        <v>5</v>
      </c>
      <c r="D25">
        <v>2</v>
      </c>
      <c r="E25">
        <v>0</v>
      </c>
      <c r="F25">
        <v>0</v>
      </c>
      <c r="G25">
        <v>2</v>
      </c>
      <c r="H25">
        <v>0</v>
      </c>
      <c r="I25">
        <v>0</v>
      </c>
      <c r="J25">
        <v>0</v>
      </c>
      <c r="L25" t="s">
        <v>193</v>
      </c>
      <c r="M25">
        <v>9</v>
      </c>
      <c r="N25">
        <v>5</v>
      </c>
      <c r="O25">
        <v>2</v>
      </c>
      <c r="P25">
        <v>0</v>
      </c>
      <c r="Q25">
        <v>2</v>
      </c>
      <c r="R25">
        <v>0</v>
      </c>
      <c r="S25">
        <v>0</v>
      </c>
      <c r="T25">
        <v>0</v>
      </c>
      <c r="U25">
        <v>0</v>
      </c>
      <c r="W25">
        <f t="shared" si="0"/>
        <v>0</v>
      </c>
    </row>
    <row r="26" spans="1:23">
      <c r="A26" t="s">
        <v>194</v>
      </c>
      <c r="B26">
        <v>11</v>
      </c>
      <c r="C26">
        <v>6</v>
      </c>
      <c r="D26">
        <v>2</v>
      </c>
      <c r="E26">
        <v>0</v>
      </c>
      <c r="F26">
        <v>0</v>
      </c>
      <c r="G26">
        <v>3</v>
      </c>
      <c r="H26">
        <v>0</v>
      </c>
      <c r="I26">
        <v>0</v>
      </c>
      <c r="J26">
        <v>0</v>
      </c>
      <c r="L26" t="s">
        <v>194</v>
      </c>
      <c r="M26">
        <v>11</v>
      </c>
      <c r="N26">
        <v>6</v>
      </c>
      <c r="O26">
        <v>2</v>
      </c>
      <c r="P26">
        <v>0</v>
      </c>
      <c r="Q26">
        <v>3</v>
      </c>
      <c r="R26">
        <v>0</v>
      </c>
      <c r="S26">
        <v>0</v>
      </c>
      <c r="T26">
        <v>0</v>
      </c>
      <c r="U26">
        <v>0</v>
      </c>
      <c r="W26">
        <f t="shared" si="0"/>
        <v>0</v>
      </c>
    </row>
    <row r="27" spans="1:23">
      <c r="A27" t="s">
        <v>195</v>
      </c>
      <c r="B27">
        <v>5</v>
      </c>
      <c r="C27">
        <v>4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L27" t="s">
        <v>195</v>
      </c>
      <c r="M27">
        <v>5</v>
      </c>
      <c r="N27">
        <v>4</v>
      </c>
      <c r="O27">
        <v>0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W27">
        <f t="shared" si="0"/>
        <v>0</v>
      </c>
    </row>
    <row r="28" spans="1:23">
      <c r="A28" t="s">
        <v>196</v>
      </c>
      <c r="B28">
        <v>8</v>
      </c>
      <c r="C28">
        <v>5</v>
      </c>
      <c r="D28">
        <v>1</v>
      </c>
      <c r="E28">
        <v>0</v>
      </c>
      <c r="F28">
        <v>1</v>
      </c>
      <c r="G28">
        <v>1</v>
      </c>
      <c r="H28">
        <v>0</v>
      </c>
      <c r="I28">
        <v>0</v>
      </c>
      <c r="J28">
        <v>0</v>
      </c>
      <c r="L28" t="s">
        <v>196</v>
      </c>
      <c r="M28">
        <v>8</v>
      </c>
      <c r="N28">
        <v>5</v>
      </c>
      <c r="O28">
        <v>1</v>
      </c>
      <c r="P28">
        <v>0</v>
      </c>
      <c r="Q28">
        <v>2</v>
      </c>
      <c r="R28">
        <v>0</v>
      </c>
      <c r="S28">
        <v>0</v>
      </c>
      <c r="T28">
        <v>0</v>
      </c>
      <c r="U28">
        <v>0</v>
      </c>
      <c r="W28">
        <f t="shared" si="0"/>
        <v>0</v>
      </c>
    </row>
    <row r="29" spans="1:23">
      <c r="A29" t="s">
        <v>197</v>
      </c>
      <c r="B29">
        <v>15</v>
      </c>
      <c r="C29">
        <v>5</v>
      </c>
      <c r="D29">
        <v>4</v>
      </c>
      <c r="E29">
        <v>3</v>
      </c>
      <c r="F29">
        <v>3</v>
      </c>
      <c r="G29">
        <v>0</v>
      </c>
      <c r="H29">
        <v>0</v>
      </c>
      <c r="I29">
        <v>0</v>
      </c>
      <c r="J29">
        <v>0</v>
      </c>
      <c r="L29" t="s">
        <v>197</v>
      </c>
      <c r="M29">
        <v>15</v>
      </c>
      <c r="N29">
        <v>5</v>
      </c>
      <c r="O29">
        <v>4</v>
      </c>
      <c r="P29">
        <v>3</v>
      </c>
      <c r="Q29">
        <v>3</v>
      </c>
      <c r="R29">
        <v>0</v>
      </c>
      <c r="S29">
        <v>0</v>
      </c>
      <c r="T29">
        <v>0</v>
      </c>
      <c r="U29">
        <v>0</v>
      </c>
      <c r="W29">
        <f t="shared" si="0"/>
        <v>0</v>
      </c>
    </row>
    <row r="30" spans="1:23">
      <c r="A30" t="s">
        <v>198</v>
      </c>
      <c r="B30">
        <v>17</v>
      </c>
      <c r="C30">
        <v>6</v>
      </c>
      <c r="D30">
        <v>4</v>
      </c>
      <c r="E30">
        <v>3</v>
      </c>
      <c r="F30">
        <v>3</v>
      </c>
      <c r="G30">
        <v>1</v>
      </c>
      <c r="H30">
        <v>0</v>
      </c>
      <c r="I30">
        <v>0</v>
      </c>
      <c r="J30">
        <v>0</v>
      </c>
      <c r="L30" t="s">
        <v>198</v>
      </c>
      <c r="M30">
        <v>17</v>
      </c>
      <c r="N30">
        <v>6</v>
      </c>
      <c r="O30">
        <v>4</v>
      </c>
      <c r="P30">
        <v>3</v>
      </c>
      <c r="Q30">
        <v>4</v>
      </c>
      <c r="R30">
        <v>0</v>
      </c>
      <c r="S30">
        <v>0</v>
      </c>
      <c r="T30">
        <v>0</v>
      </c>
      <c r="U30">
        <v>0</v>
      </c>
      <c r="W30">
        <f t="shared" si="0"/>
        <v>0</v>
      </c>
    </row>
    <row r="31" spans="1:23">
      <c r="A31" t="s">
        <v>199</v>
      </c>
      <c r="B31">
        <v>2</v>
      </c>
      <c r="C31">
        <v>0</v>
      </c>
      <c r="D31">
        <v>0</v>
      </c>
      <c r="E31">
        <v>0</v>
      </c>
      <c r="F31">
        <v>0</v>
      </c>
      <c r="G31">
        <v>2</v>
      </c>
      <c r="H31">
        <v>0</v>
      </c>
      <c r="I31">
        <v>0</v>
      </c>
      <c r="J31">
        <v>0</v>
      </c>
      <c r="L31" t="s">
        <v>199</v>
      </c>
      <c r="M31">
        <v>2</v>
      </c>
      <c r="N31">
        <v>0</v>
      </c>
      <c r="O31">
        <v>0</v>
      </c>
      <c r="P31">
        <v>0</v>
      </c>
      <c r="Q31">
        <v>2</v>
      </c>
      <c r="R31">
        <v>0</v>
      </c>
      <c r="S31">
        <v>0</v>
      </c>
      <c r="T31">
        <v>0</v>
      </c>
      <c r="U31">
        <v>0</v>
      </c>
      <c r="W31">
        <f t="shared" si="0"/>
        <v>0</v>
      </c>
    </row>
    <row r="32" spans="1:23">
      <c r="A32" t="s">
        <v>200</v>
      </c>
      <c r="B32">
        <v>14</v>
      </c>
      <c r="C32">
        <v>7</v>
      </c>
      <c r="D32">
        <v>1</v>
      </c>
      <c r="E32">
        <v>3</v>
      </c>
      <c r="F32">
        <v>2</v>
      </c>
      <c r="G32">
        <v>1</v>
      </c>
      <c r="H32">
        <v>0</v>
      </c>
      <c r="I32">
        <v>0</v>
      </c>
      <c r="J32">
        <v>0</v>
      </c>
      <c r="L32" t="s">
        <v>200</v>
      </c>
      <c r="M32">
        <v>14</v>
      </c>
      <c r="N32">
        <v>7</v>
      </c>
      <c r="O32">
        <v>1</v>
      </c>
      <c r="P32">
        <v>3</v>
      </c>
      <c r="Q32">
        <v>3</v>
      </c>
      <c r="R32">
        <v>0</v>
      </c>
      <c r="S32">
        <v>0</v>
      </c>
      <c r="T32">
        <v>0</v>
      </c>
      <c r="U32">
        <v>0</v>
      </c>
      <c r="W32">
        <f t="shared" si="0"/>
        <v>0</v>
      </c>
    </row>
    <row r="33" spans="1:23">
      <c r="A33" t="s">
        <v>201</v>
      </c>
      <c r="B33">
        <v>16</v>
      </c>
      <c r="C33">
        <v>8</v>
      </c>
      <c r="D33">
        <v>1</v>
      </c>
      <c r="E33">
        <v>3</v>
      </c>
      <c r="F33">
        <v>2</v>
      </c>
      <c r="G33">
        <v>2</v>
      </c>
      <c r="H33">
        <v>0</v>
      </c>
      <c r="I33">
        <v>0</v>
      </c>
      <c r="J33">
        <v>0</v>
      </c>
      <c r="L33" t="s">
        <v>201</v>
      </c>
      <c r="M33">
        <v>16</v>
      </c>
      <c r="N33">
        <v>8</v>
      </c>
      <c r="O33">
        <v>1</v>
      </c>
      <c r="P33">
        <v>3</v>
      </c>
      <c r="Q33">
        <v>4</v>
      </c>
      <c r="R33">
        <v>0</v>
      </c>
      <c r="S33">
        <v>0</v>
      </c>
      <c r="T33">
        <v>0</v>
      </c>
      <c r="U33">
        <v>0</v>
      </c>
      <c r="W33">
        <f t="shared" si="0"/>
        <v>0</v>
      </c>
    </row>
    <row r="34" spans="1:23">
      <c r="A34" t="s">
        <v>202</v>
      </c>
      <c r="B34">
        <v>9</v>
      </c>
      <c r="C34">
        <v>5</v>
      </c>
      <c r="D34">
        <v>2</v>
      </c>
      <c r="E34">
        <v>0</v>
      </c>
      <c r="F34">
        <v>1</v>
      </c>
      <c r="G34">
        <v>1</v>
      </c>
      <c r="H34">
        <v>0</v>
      </c>
      <c r="I34">
        <v>0</v>
      </c>
      <c r="J34">
        <v>0</v>
      </c>
      <c r="L34" t="s">
        <v>202</v>
      </c>
      <c r="M34">
        <v>9</v>
      </c>
      <c r="N34">
        <v>5</v>
      </c>
      <c r="O34">
        <v>2</v>
      </c>
      <c r="P34">
        <v>0</v>
      </c>
      <c r="Q34">
        <v>2</v>
      </c>
      <c r="R34">
        <v>0</v>
      </c>
      <c r="S34">
        <v>0</v>
      </c>
      <c r="T34">
        <v>0</v>
      </c>
      <c r="U34">
        <v>0</v>
      </c>
      <c r="W34">
        <f t="shared" si="0"/>
        <v>0</v>
      </c>
    </row>
    <row r="35" spans="1:23">
      <c r="A35" t="s">
        <v>203</v>
      </c>
      <c r="B35">
        <v>15</v>
      </c>
      <c r="C35">
        <v>6</v>
      </c>
      <c r="D35">
        <v>7</v>
      </c>
      <c r="E35">
        <v>0</v>
      </c>
      <c r="F35">
        <v>1</v>
      </c>
      <c r="G35">
        <v>1</v>
      </c>
      <c r="H35">
        <v>0</v>
      </c>
      <c r="I35">
        <v>0</v>
      </c>
      <c r="J35">
        <v>0</v>
      </c>
      <c r="L35" t="s">
        <v>203</v>
      </c>
      <c r="M35">
        <v>15</v>
      </c>
      <c r="N35">
        <v>6</v>
      </c>
      <c r="O35">
        <v>7</v>
      </c>
      <c r="P35">
        <v>0</v>
      </c>
      <c r="Q35">
        <v>2</v>
      </c>
      <c r="R35">
        <v>0</v>
      </c>
      <c r="S35">
        <v>0</v>
      </c>
      <c r="T35">
        <v>0</v>
      </c>
      <c r="U35">
        <v>0</v>
      </c>
      <c r="W35">
        <f t="shared" si="0"/>
        <v>0</v>
      </c>
    </row>
    <row r="36" spans="1:23">
      <c r="A36" t="s">
        <v>204</v>
      </c>
      <c r="B36">
        <v>17</v>
      </c>
      <c r="C36">
        <v>7</v>
      </c>
      <c r="D36">
        <v>7</v>
      </c>
      <c r="E36">
        <v>0</v>
      </c>
      <c r="F36">
        <v>1</v>
      </c>
      <c r="G36">
        <v>2</v>
      </c>
      <c r="H36">
        <v>0</v>
      </c>
      <c r="I36">
        <v>0</v>
      </c>
      <c r="J36">
        <v>0</v>
      </c>
      <c r="L36" t="s">
        <v>204</v>
      </c>
      <c r="M36">
        <v>17</v>
      </c>
      <c r="N36">
        <v>7</v>
      </c>
      <c r="O36">
        <v>7</v>
      </c>
      <c r="P36">
        <v>0</v>
      </c>
      <c r="Q36">
        <v>3</v>
      </c>
      <c r="R36">
        <v>0</v>
      </c>
      <c r="S36">
        <v>0</v>
      </c>
      <c r="T36">
        <v>0</v>
      </c>
      <c r="U36">
        <v>0</v>
      </c>
      <c r="W36">
        <f t="shared" si="0"/>
        <v>0</v>
      </c>
    </row>
    <row r="37" spans="1:23">
      <c r="A37" t="s">
        <v>205</v>
      </c>
      <c r="B37">
        <v>7</v>
      </c>
      <c r="C37">
        <v>4</v>
      </c>
      <c r="D37">
        <v>2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L37" t="s">
        <v>205</v>
      </c>
      <c r="M37">
        <v>7</v>
      </c>
      <c r="N37">
        <v>4</v>
      </c>
      <c r="O37">
        <v>2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W37">
        <f t="shared" si="0"/>
        <v>0</v>
      </c>
    </row>
    <row r="38" spans="1:23">
      <c r="A38" t="s">
        <v>206</v>
      </c>
      <c r="B38">
        <v>27</v>
      </c>
      <c r="C38">
        <v>4</v>
      </c>
      <c r="D38">
        <v>21</v>
      </c>
      <c r="E38">
        <v>0</v>
      </c>
      <c r="F38">
        <v>0</v>
      </c>
      <c r="G38">
        <v>2</v>
      </c>
      <c r="H38">
        <v>0</v>
      </c>
      <c r="I38">
        <v>0</v>
      </c>
      <c r="J38">
        <v>0</v>
      </c>
      <c r="L38" t="s">
        <v>206</v>
      </c>
      <c r="M38">
        <v>27</v>
      </c>
      <c r="N38">
        <v>4</v>
      </c>
      <c r="O38">
        <v>21</v>
      </c>
      <c r="P38">
        <v>0</v>
      </c>
      <c r="Q38">
        <v>2</v>
      </c>
      <c r="R38">
        <v>0</v>
      </c>
      <c r="S38">
        <v>0</v>
      </c>
      <c r="T38">
        <v>0</v>
      </c>
      <c r="U38">
        <v>0</v>
      </c>
      <c r="W38">
        <f t="shared" si="0"/>
        <v>0</v>
      </c>
    </row>
    <row r="39" spans="1:23">
      <c r="A39" t="s">
        <v>207</v>
      </c>
      <c r="B39">
        <v>29</v>
      </c>
      <c r="C39">
        <v>5</v>
      </c>
      <c r="D39">
        <v>21</v>
      </c>
      <c r="E39">
        <v>0</v>
      </c>
      <c r="F39">
        <v>0</v>
      </c>
      <c r="G39">
        <v>3</v>
      </c>
      <c r="H39">
        <v>0</v>
      </c>
      <c r="I39">
        <v>0</v>
      </c>
      <c r="J39">
        <v>0</v>
      </c>
      <c r="L39" t="s">
        <v>207</v>
      </c>
      <c r="M39">
        <v>29</v>
      </c>
      <c r="N39">
        <v>5</v>
      </c>
      <c r="O39">
        <v>21</v>
      </c>
      <c r="P39">
        <v>0</v>
      </c>
      <c r="Q39">
        <v>3</v>
      </c>
      <c r="R39">
        <v>0</v>
      </c>
      <c r="S39">
        <v>0</v>
      </c>
      <c r="T39">
        <v>0</v>
      </c>
      <c r="U39">
        <v>0</v>
      </c>
      <c r="W39">
        <f t="shared" si="0"/>
        <v>0</v>
      </c>
    </row>
    <row r="40" spans="1:23">
      <c r="A40" t="s">
        <v>208</v>
      </c>
      <c r="B40">
        <v>13</v>
      </c>
      <c r="C40">
        <v>5</v>
      </c>
      <c r="D40">
        <v>6</v>
      </c>
      <c r="E40">
        <v>0</v>
      </c>
      <c r="F40">
        <v>1</v>
      </c>
      <c r="G40">
        <v>1</v>
      </c>
      <c r="H40">
        <v>0</v>
      </c>
      <c r="I40">
        <v>0</v>
      </c>
      <c r="J40">
        <v>0</v>
      </c>
      <c r="L40" t="s">
        <v>208</v>
      </c>
      <c r="M40">
        <v>13</v>
      </c>
      <c r="N40">
        <v>5</v>
      </c>
      <c r="O40">
        <v>6</v>
      </c>
      <c r="P40">
        <v>0</v>
      </c>
      <c r="Q40">
        <v>2</v>
      </c>
      <c r="R40">
        <v>0</v>
      </c>
      <c r="S40">
        <v>0</v>
      </c>
      <c r="T40">
        <v>0</v>
      </c>
      <c r="U40">
        <v>0</v>
      </c>
      <c r="W40">
        <f t="shared" si="0"/>
        <v>0</v>
      </c>
    </row>
    <row r="41" spans="1:23">
      <c r="A41" t="s">
        <v>209</v>
      </c>
      <c r="B41">
        <v>15</v>
      </c>
      <c r="C41">
        <v>6</v>
      </c>
      <c r="D41">
        <v>6</v>
      </c>
      <c r="E41">
        <v>0</v>
      </c>
      <c r="F41">
        <v>1</v>
      </c>
      <c r="G41">
        <v>2</v>
      </c>
      <c r="H41">
        <v>0</v>
      </c>
      <c r="I41">
        <v>0</v>
      </c>
      <c r="J41">
        <v>0</v>
      </c>
      <c r="L41" t="s">
        <v>209</v>
      </c>
      <c r="M41">
        <v>15</v>
      </c>
      <c r="N41">
        <v>6</v>
      </c>
      <c r="O41">
        <v>6</v>
      </c>
      <c r="P41">
        <v>0</v>
      </c>
      <c r="Q41">
        <v>3</v>
      </c>
      <c r="R41">
        <v>0</v>
      </c>
      <c r="S41">
        <v>0</v>
      </c>
      <c r="T41">
        <v>0</v>
      </c>
      <c r="U41">
        <v>0</v>
      </c>
      <c r="W41">
        <f t="shared" si="0"/>
        <v>0</v>
      </c>
    </row>
    <row r="42" spans="1:23">
      <c r="A42" t="s">
        <v>210</v>
      </c>
      <c r="B42">
        <v>3</v>
      </c>
      <c r="C42">
        <v>2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L42" t="s">
        <v>210</v>
      </c>
      <c r="M42">
        <v>3</v>
      </c>
      <c r="N42">
        <v>2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W42">
        <f t="shared" si="0"/>
        <v>0</v>
      </c>
    </row>
    <row r="43" spans="1:23">
      <c r="A43" t="s">
        <v>211</v>
      </c>
      <c r="B43">
        <v>3</v>
      </c>
      <c r="C43">
        <v>2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L43" t="s">
        <v>211</v>
      </c>
      <c r="M43">
        <v>3</v>
      </c>
      <c r="N43">
        <v>2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W43">
        <f t="shared" si="0"/>
        <v>0</v>
      </c>
    </row>
    <row r="44" spans="1:23">
      <c r="A44" t="s">
        <v>212</v>
      </c>
      <c r="B44">
        <v>10</v>
      </c>
      <c r="C44">
        <v>5</v>
      </c>
      <c r="D44">
        <v>3</v>
      </c>
      <c r="E44">
        <v>0</v>
      </c>
      <c r="F44">
        <v>0</v>
      </c>
      <c r="G44">
        <v>2</v>
      </c>
      <c r="H44">
        <v>0</v>
      </c>
      <c r="I44">
        <v>0</v>
      </c>
      <c r="J44">
        <v>0</v>
      </c>
      <c r="L44" t="s">
        <v>212</v>
      </c>
      <c r="M44">
        <v>10</v>
      </c>
      <c r="N44">
        <v>4</v>
      </c>
      <c r="O44">
        <v>3</v>
      </c>
      <c r="P44">
        <v>0</v>
      </c>
      <c r="Q44">
        <v>3</v>
      </c>
      <c r="R44">
        <v>0</v>
      </c>
      <c r="S44">
        <v>0</v>
      </c>
      <c r="T44">
        <v>0</v>
      </c>
      <c r="U44">
        <v>0</v>
      </c>
      <c r="W44">
        <f t="shared" si="0"/>
        <v>0</v>
      </c>
    </row>
    <row r="45" spans="1:23">
      <c r="A45" t="s">
        <v>213</v>
      </c>
      <c r="B45">
        <v>9</v>
      </c>
      <c r="C45">
        <v>5</v>
      </c>
      <c r="D45">
        <v>2</v>
      </c>
      <c r="E45">
        <v>0</v>
      </c>
      <c r="F45">
        <v>2</v>
      </c>
      <c r="G45">
        <v>0</v>
      </c>
      <c r="H45">
        <v>0</v>
      </c>
      <c r="I45">
        <v>0</v>
      </c>
      <c r="J45">
        <v>0</v>
      </c>
      <c r="L45" t="s">
        <v>213</v>
      </c>
      <c r="M45">
        <v>9</v>
      </c>
      <c r="N45">
        <v>5</v>
      </c>
      <c r="O45">
        <v>2</v>
      </c>
      <c r="P45">
        <v>0</v>
      </c>
      <c r="Q45">
        <v>2</v>
      </c>
      <c r="R45">
        <v>0</v>
      </c>
      <c r="S45">
        <v>0</v>
      </c>
      <c r="T45">
        <v>0</v>
      </c>
      <c r="U45">
        <v>0</v>
      </c>
      <c r="W45">
        <f t="shared" si="0"/>
        <v>0</v>
      </c>
    </row>
    <row r="46" spans="1:23">
      <c r="A46" t="s">
        <v>214</v>
      </c>
      <c r="B46">
        <v>11</v>
      </c>
      <c r="C46">
        <v>6</v>
      </c>
      <c r="D46">
        <v>2</v>
      </c>
      <c r="E46">
        <v>0</v>
      </c>
      <c r="F46">
        <v>2</v>
      </c>
      <c r="G46">
        <v>1</v>
      </c>
      <c r="H46">
        <v>0</v>
      </c>
      <c r="I46">
        <v>0</v>
      </c>
      <c r="J46">
        <v>0</v>
      </c>
      <c r="L46" t="s">
        <v>214</v>
      </c>
      <c r="M46">
        <v>11</v>
      </c>
      <c r="N46">
        <v>6</v>
      </c>
      <c r="O46">
        <v>2</v>
      </c>
      <c r="P46">
        <v>0</v>
      </c>
      <c r="Q46">
        <v>3</v>
      </c>
      <c r="R46">
        <v>0</v>
      </c>
      <c r="S46">
        <v>0</v>
      </c>
      <c r="T46">
        <v>0</v>
      </c>
      <c r="U46">
        <v>0</v>
      </c>
      <c r="W46">
        <f t="shared" si="0"/>
        <v>0</v>
      </c>
    </row>
    <row r="47" spans="1:23">
      <c r="A47" t="s">
        <v>215</v>
      </c>
      <c r="B47">
        <v>17</v>
      </c>
      <c r="C47">
        <v>7</v>
      </c>
      <c r="D47">
        <v>9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L47" t="s">
        <v>215</v>
      </c>
      <c r="M47">
        <v>17</v>
      </c>
      <c r="N47">
        <v>7</v>
      </c>
      <c r="O47">
        <v>9</v>
      </c>
      <c r="P47">
        <v>0</v>
      </c>
      <c r="Q47">
        <v>1</v>
      </c>
      <c r="R47">
        <v>0</v>
      </c>
      <c r="S47">
        <v>0</v>
      </c>
      <c r="T47">
        <v>0</v>
      </c>
      <c r="U47">
        <v>0</v>
      </c>
      <c r="W47">
        <f t="shared" si="0"/>
        <v>0</v>
      </c>
    </row>
    <row r="48" spans="1:23">
      <c r="A48" t="s">
        <v>216</v>
      </c>
      <c r="B48">
        <v>8</v>
      </c>
      <c r="C48">
        <v>4</v>
      </c>
      <c r="D48">
        <v>1</v>
      </c>
      <c r="E48">
        <v>0</v>
      </c>
      <c r="F48">
        <v>2</v>
      </c>
      <c r="G48">
        <v>0</v>
      </c>
      <c r="H48">
        <v>0</v>
      </c>
      <c r="I48">
        <v>1</v>
      </c>
      <c r="J48">
        <v>0</v>
      </c>
      <c r="L48" t="s">
        <v>216</v>
      </c>
      <c r="M48">
        <v>8</v>
      </c>
      <c r="N48">
        <v>4</v>
      </c>
      <c r="O48">
        <v>1</v>
      </c>
      <c r="P48">
        <v>0</v>
      </c>
      <c r="Q48">
        <v>2</v>
      </c>
      <c r="R48">
        <v>0</v>
      </c>
      <c r="S48">
        <v>0</v>
      </c>
      <c r="T48">
        <v>1</v>
      </c>
      <c r="U48">
        <v>0</v>
      </c>
      <c r="W48">
        <f t="shared" si="0"/>
        <v>0</v>
      </c>
    </row>
    <row r="49" spans="1:23">
      <c r="A49" t="s">
        <v>217</v>
      </c>
      <c r="B49">
        <v>7</v>
      </c>
      <c r="C49">
        <v>5</v>
      </c>
      <c r="D49">
        <v>1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L49" t="s">
        <v>217</v>
      </c>
      <c r="M49">
        <v>7</v>
      </c>
      <c r="N49">
        <v>5</v>
      </c>
      <c r="O49">
        <v>1</v>
      </c>
      <c r="P49">
        <v>0</v>
      </c>
      <c r="Q49">
        <v>1</v>
      </c>
      <c r="R49">
        <v>0</v>
      </c>
      <c r="S49">
        <v>0</v>
      </c>
      <c r="T49">
        <v>0</v>
      </c>
      <c r="U49">
        <v>0</v>
      </c>
      <c r="W49">
        <f t="shared" si="0"/>
        <v>0</v>
      </c>
    </row>
    <row r="50" spans="1:23">
      <c r="A50" t="s">
        <v>218</v>
      </c>
      <c r="B50">
        <v>9</v>
      </c>
      <c r="C50">
        <v>6</v>
      </c>
      <c r="D50">
        <v>1</v>
      </c>
      <c r="E50">
        <v>0</v>
      </c>
      <c r="F50">
        <v>1</v>
      </c>
      <c r="G50">
        <v>1</v>
      </c>
      <c r="H50">
        <v>0</v>
      </c>
      <c r="I50">
        <v>0</v>
      </c>
      <c r="J50">
        <v>0</v>
      </c>
      <c r="L50" t="s">
        <v>218</v>
      </c>
      <c r="M50">
        <v>9</v>
      </c>
      <c r="N50">
        <v>6</v>
      </c>
      <c r="O50">
        <v>1</v>
      </c>
      <c r="P50">
        <v>0</v>
      </c>
      <c r="Q50">
        <v>2</v>
      </c>
      <c r="R50">
        <v>0</v>
      </c>
      <c r="S50">
        <v>0</v>
      </c>
      <c r="T50">
        <v>0</v>
      </c>
      <c r="U50">
        <v>0</v>
      </c>
      <c r="W50">
        <f t="shared" si="0"/>
        <v>0</v>
      </c>
    </row>
    <row r="51" spans="1:23">
      <c r="A51" t="s">
        <v>219</v>
      </c>
      <c r="B51">
        <v>12</v>
      </c>
      <c r="C51">
        <v>6</v>
      </c>
      <c r="D51">
        <v>3</v>
      </c>
      <c r="E51">
        <v>0</v>
      </c>
      <c r="F51">
        <v>0</v>
      </c>
      <c r="G51">
        <v>3</v>
      </c>
      <c r="H51">
        <v>0</v>
      </c>
      <c r="I51">
        <v>0</v>
      </c>
      <c r="J51">
        <v>0</v>
      </c>
      <c r="L51" t="s">
        <v>219</v>
      </c>
      <c r="M51">
        <v>12</v>
      </c>
      <c r="N51">
        <v>6</v>
      </c>
      <c r="O51">
        <v>3</v>
      </c>
      <c r="P51">
        <v>0</v>
      </c>
      <c r="Q51">
        <v>3</v>
      </c>
      <c r="R51">
        <v>0</v>
      </c>
      <c r="S51">
        <v>0</v>
      </c>
      <c r="T51">
        <v>0</v>
      </c>
      <c r="U51">
        <v>0</v>
      </c>
      <c r="W51">
        <f t="shared" si="0"/>
        <v>0</v>
      </c>
    </row>
    <row r="52" spans="1:23">
      <c r="A52" t="s">
        <v>220</v>
      </c>
      <c r="B52">
        <v>14</v>
      </c>
      <c r="C52">
        <v>7</v>
      </c>
      <c r="D52">
        <v>3</v>
      </c>
      <c r="E52">
        <v>0</v>
      </c>
      <c r="F52">
        <v>0</v>
      </c>
      <c r="G52">
        <v>4</v>
      </c>
      <c r="H52">
        <v>0</v>
      </c>
      <c r="I52">
        <v>0</v>
      </c>
      <c r="J52">
        <v>0</v>
      </c>
      <c r="L52" t="s">
        <v>220</v>
      </c>
      <c r="M52">
        <v>14</v>
      </c>
      <c r="N52">
        <v>7</v>
      </c>
      <c r="O52">
        <v>3</v>
      </c>
      <c r="P52">
        <v>0</v>
      </c>
      <c r="Q52">
        <v>4</v>
      </c>
      <c r="R52">
        <v>0</v>
      </c>
      <c r="S52">
        <v>0</v>
      </c>
      <c r="T52">
        <v>0</v>
      </c>
      <c r="U52">
        <v>0</v>
      </c>
      <c r="W52">
        <f t="shared" si="0"/>
        <v>0</v>
      </c>
    </row>
    <row r="53" spans="1:23">
      <c r="A53" t="s">
        <v>221</v>
      </c>
      <c r="B53">
        <v>13</v>
      </c>
      <c r="C53">
        <v>6</v>
      </c>
      <c r="D53">
        <v>3</v>
      </c>
      <c r="E53">
        <v>0</v>
      </c>
      <c r="F53">
        <v>0</v>
      </c>
      <c r="G53">
        <v>4</v>
      </c>
      <c r="H53">
        <v>0</v>
      </c>
      <c r="I53">
        <v>0</v>
      </c>
      <c r="J53">
        <v>0</v>
      </c>
      <c r="L53" t="s">
        <v>221</v>
      </c>
      <c r="M53">
        <v>13</v>
      </c>
      <c r="N53">
        <v>6</v>
      </c>
      <c r="O53">
        <v>3</v>
      </c>
      <c r="P53">
        <v>0</v>
      </c>
      <c r="Q53">
        <v>4</v>
      </c>
      <c r="R53">
        <v>0</v>
      </c>
      <c r="S53">
        <v>0</v>
      </c>
      <c r="T53">
        <v>0</v>
      </c>
      <c r="U53">
        <v>0</v>
      </c>
      <c r="W53">
        <f t="shared" si="0"/>
        <v>0</v>
      </c>
    </row>
    <row r="54" spans="1:23">
      <c r="A54" t="s">
        <v>222</v>
      </c>
      <c r="B54">
        <v>43</v>
      </c>
      <c r="C54">
        <v>14</v>
      </c>
      <c r="D54">
        <v>17</v>
      </c>
      <c r="E54">
        <v>9</v>
      </c>
      <c r="F54">
        <v>1</v>
      </c>
      <c r="G54">
        <v>2</v>
      </c>
      <c r="H54">
        <v>0</v>
      </c>
      <c r="I54">
        <v>0</v>
      </c>
      <c r="J54">
        <v>0</v>
      </c>
      <c r="L54" t="s">
        <v>222</v>
      </c>
      <c r="M54">
        <v>43</v>
      </c>
      <c r="N54">
        <v>14</v>
      </c>
      <c r="O54">
        <v>17</v>
      </c>
      <c r="P54">
        <v>9</v>
      </c>
      <c r="Q54">
        <v>3</v>
      </c>
      <c r="R54">
        <v>0</v>
      </c>
      <c r="S54">
        <v>0</v>
      </c>
      <c r="T54">
        <v>0</v>
      </c>
      <c r="U54">
        <v>0</v>
      </c>
      <c r="W54">
        <f t="shared" si="0"/>
        <v>0</v>
      </c>
    </row>
    <row r="55" spans="1:23">
      <c r="A55" t="s">
        <v>223</v>
      </c>
      <c r="B55">
        <v>45</v>
      </c>
      <c r="C55">
        <v>15</v>
      </c>
      <c r="D55">
        <v>17</v>
      </c>
      <c r="E55">
        <v>9</v>
      </c>
      <c r="F55">
        <v>1</v>
      </c>
      <c r="G55">
        <v>3</v>
      </c>
      <c r="H55">
        <v>0</v>
      </c>
      <c r="I55">
        <v>0</v>
      </c>
      <c r="J55">
        <v>0</v>
      </c>
      <c r="L55" t="s">
        <v>223</v>
      </c>
      <c r="M55">
        <v>45</v>
      </c>
      <c r="N55">
        <v>15</v>
      </c>
      <c r="O55">
        <v>17</v>
      </c>
      <c r="P55">
        <v>9</v>
      </c>
      <c r="Q55">
        <v>4</v>
      </c>
      <c r="R55">
        <v>0</v>
      </c>
      <c r="S55">
        <v>0</v>
      </c>
      <c r="T55">
        <v>0</v>
      </c>
      <c r="U55">
        <v>0</v>
      </c>
      <c r="W55">
        <f t="shared" si="0"/>
        <v>0</v>
      </c>
    </row>
    <row r="56" spans="1:23">
      <c r="A56" t="s">
        <v>224</v>
      </c>
      <c r="B56">
        <v>23</v>
      </c>
      <c r="C56">
        <v>4</v>
      </c>
      <c r="D56">
        <v>16</v>
      </c>
      <c r="E56">
        <v>1</v>
      </c>
      <c r="F56">
        <v>2</v>
      </c>
      <c r="G56">
        <v>0</v>
      </c>
      <c r="H56">
        <v>0</v>
      </c>
      <c r="I56">
        <v>0</v>
      </c>
      <c r="J56">
        <v>0</v>
      </c>
      <c r="L56" t="s">
        <v>224</v>
      </c>
      <c r="M56">
        <v>23</v>
      </c>
      <c r="N56">
        <v>4</v>
      </c>
      <c r="O56">
        <v>16</v>
      </c>
      <c r="P56">
        <v>1</v>
      </c>
      <c r="Q56">
        <v>2</v>
      </c>
      <c r="R56">
        <v>0</v>
      </c>
      <c r="S56">
        <v>0</v>
      </c>
      <c r="T56">
        <v>0</v>
      </c>
      <c r="U56">
        <v>0</v>
      </c>
      <c r="W56">
        <f t="shared" si="0"/>
        <v>0</v>
      </c>
    </row>
    <row r="57" spans="1:23">
      <c r="A57" t="s">
        <v>225</v>
      </c>
      <c r="B57">
        <v>25</v>
      </c>
      <c r="C57">
        <v>5</v>
      </c>
      <c r="D57">
        <v>16</v>
      </c>
      <c r="E57">
        <v>1</v>
      </c>
      <c r="F57">
        <v>2</v>
      </c>
      <c r="G57">
        <v>1</v>
      </c>
      <c r="H57">
        <v>0</v>
      </c>
      <c r="I57">
        <v>0</v>
      </c>
      <c r="J57">
        <v>0</v>
      </c>
      <c r="L57" t="s">
        <v>225</v>
      </c>
      <c r="M57">
        <v>25</v>
      </c>
      <c r="N57">
        <v>5</v>
      </c>
      <c r="O57">
        <v>16</v>
      </c>
      <c r="P57">
        <v>1</v>
      </c>
      <c r="Q57">
        <v>3</v>
      </c>
      <c r="R57">
        <v>0</v>
      </c>
      <c r="S57">
        <v>0</v>
      </c>
      <c r="T57">
        <v>0</v>
      </c>
      <c r="U57">
        <v>0</v>
      </c>
      <c r="W57">
        <f t="shared" si="0"/>
        <v>0</v>
      </c>
    </row>
    <row r="58" spans="1:23">
      <c r="A58" t="s">
        <v>226</v>
      </c>
      <c r="B58">
        <v>9</v>
      </c>
      <c r="C58">
        <v>4</v>
      </c>
      <c r="D58">
        <v>2</v>
      </c>
      <c r="E58">
        <v>2</v>
      </c>
      <c r="F58">
        <v>1</v>
      </c>
      <c r="G58">
        <v>0</v>
      </c>
      <c r="H58">
        <v>0</v>
      </c>
      <c r="I58">
        <v>0</v>
      </c>
      <c r="J58">
        <v>0</v>
      </c>
      <c r="L58" t="s">
        <v>226</v>
      </c>
      <c r="M58">
        <v>9</v>
      </c>
      <c r="N58">
        <v>4</v>
      </c>
      <c r="O58">
        <v>2</v>
      </c>
      <c r="P58">
        <v>2</v>
      </c>
      <c r="Q58">
        <v>1</v>
      </c>
      <c r="R58">
        <v>0</v>
      </c>
      <c r="S58">
        <v>0</v>
      </c>
      <c r="T58">
        <v>0</v>
      </c>
      <c r="U58">
        <v>0</v>
      </c>
      <c r="W58">
        <f t="shared" si="0"/>
        <v>0</v>
      </c>
    </row>
    <row r="59" spans="1:23">
      <c r="A59" t="s">
        <v>227</v>
      </c>
      <c r="B59">
        <v>11</v>
      </c>
      <c r="C59">
        <v>5</v>
      </c>
      <c r="D59">
        <v>2</v>
      </c>
      <c r="E59">
        <v>2</v>
      </c>
      <c r="F59">
        <v>1</v>
      </c>
      <c r="G59">
        <v>1</v>
      </c>
      <c r="H59">
        <v>0</v>
      </c>
      <c r="I59">
        <v>0</v>
      </c>
      <c r="J59">
        <v>0</v>
      </c>
      <c r="L59" t="s">
        <v>227</v>
      </c>
      <c r="M59">
        <v>11</v>
      </c>
      <c r="N59">
        <v>5</v>
      </c>
      <c r="O59">
        <v>2</v>
      </c>
      <c r="P59">
        <v>2</v>
      </c>
      <c r="Q59">
        <v>2</v>
      </c>
      <c r="R59">
        <v>0</v>
      </c>
      <c r="S59">
        <v>0</v>
      </c>
      <c r="T59">
        <v>0</v>
      </c>
      <c r="U59">
        <v>0</v>
      </c>
      <c r="W59">
        <f t="shared" si="0"/>
        <v>0</v>
      </c>
    </row>
    <row r="60" spans="1:23">
      <c r="A60" t="s">
        <v>228</v>
      </c>
      <c r="B60">
        <v>8</v>
      </c>
      <c r="C60">
        <v>7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L60" t="s">
        <v>228</v>
      </c>
      <c r="M60">
        <v>8</v>
      </c>
      <c r="N60">
        <v>7</v>
      </c>
      <c r="O60">
        <v>0</v>
      </c>
      <c r="P60">
        <v>0</v>
      </c>
      <c r="Q60">
        <v>1</v>
      </c>
      <c r="R60">
        <v>0</v>
      </c>
      <c r="S60">
        <v>0</v>
      </c>
      <c r="T60">
        <v>0</v>
      </c>
      <c r="U60">
        <v>0</v>
      </c>
      <c r="W60">
        <f t="shared" si="0"/>
        <v>0</v>
      </c>
    </row>
    <row r="61" spans="1:23">
      <c r="A61" t="s">
        <v>229</v>
      </c>
      <c r="B61">
        <v>10</v>
      </c>
      <c r="C61">
        <v>8</v>
      </c>
      <c r="D61">
        <v>0</v>
      </c>
      <c r="E61">
        <v>0</v>
      </c>
      <c r="F61">
        <v>1</v>
      </c>
      <c r="G61">
        <v>1</v>
      </c>
      <c r="H61">
        <v>0</v>
      </c>
      <c r="I61">
        <v>0</v>
      </c>
      <c r="J61">
        <v>0</v>
      </c>
      <c r="L61" t="s">
        <v>229</v>
      </c>
      <c r="M61">
        <v>10</v>
      </c>
      <c r="N61">
        <v>8</v>
      </c>
      <c r="O61">
        <v>0</v>
      </c>
      <c r="P61">
        <v>0</v>
      </c>
      <c r="Q61">
        <v>2</v>
      </c>
      <c r="R61">
        <v>0</v>
      </c>
      <c r="S61">
        <v>0</v>
      </c>
      <c r="T61">
        <v>0</v>
      </c>
      <c r="U61">
        <v>0</v>
      </c>
      <c r="W61">
        <f t="shared" si="0"/>
        <v>0</v>
      </c>
    </row>
    <row r="62" spans="1:23">
      <c r="A62" t="s">
        <v>230</v>
      </c>
      <c r="B62">
        <v>8</v>
      </c>
      <c r="C62">
        <v>4</v>
      </c>
      <c r="D62">
        <v>2</v>
      </c>
      <c r="E62">
        <v>0</v>
      </c>
      <c r="F62">
        <v>1</v>
      </c>
      <c r="G62">
        <v>1</v>
      </c>
      <c r="H62">
        <v>0</v>
      </c>
      <c r="I62">
        <v>0</v>
      </c>
      <c r="J62">
        <v>0</v>
      </c>
      <c r="L62" t="s">
        <v>230</v>
      </c>
      <c r="M62">
        <v>8</v>
      </c>
      <c r="N62">
        <v>4</v>
      </c>
      <c r="O62">
        <v>2</v>
      </c>
      <c r="P62">
        <v>0</v>
      </c>
      <c r="Q62">
        <v>2</v>
      </c>
      <c r="R62">
        <v>0</v>
      </c>
      <c r="S62">
        <v>0</v>
      </c>
      <c r="T62">
        <v>0</v>
      </c>
      <c r="U62">
        <v>0</v>
      </c>
      <c r="W62">
        <f t="shared" si="0"/>
        <v>0</v>
      </c>
    </row>
    <row r="63" spans="1:23">
      <c r="A63" t="s">
        <v>231</v>
      </c>
      <c r="B63">
        <v>9</v>
      </c>
      <c r="C63">
        <v>6</v>
      </c>
      <c r="D63">
        <v>1</v>
      </c>
      <c r="E63">
        <v>0</v>
      </c>
      <c r="F63">
        <v>2</v>
      </c>
      <c r="G63">
        <v>0</v>
      </c>
      <c r="H63">
        <v>0</v>
      </c>
      <c r="I63">
        <v>0</v>
      </c>
      <c r="J63">
        <v>0</v>
      </c>
      <c r="L63" t="s">
        <v>231</v>
      </c>
      <c r="M63">
        <v>9</v>
      </c>
      <c r="N63">
        <v>6</v>
      </c>
      <c r="O63">
        <v>1</v>
      </c>
      <c r="P63">
        <v>0</v>
      </c>
      <c r="Q63">
        <v>2</v>
      </c>
      <c r="R63">
        <v>0</v>
      </c>
      <c r="S63">
        <v>0</v>
      </c>
      <c r="T63">
        <v>0</v>
      </c>
      <c r="U63">
        <v>0</v>
      </c>
      <c r="W63">
        <f t="shared" si="0"/>
        <v>0</v>
      </c>
    </row>
    <row r="64" spans="1:23">
      <c r="A64" t="s">
        <v>232</v>
      </c>
      <c r="B64">
        <v>11</v>
      </c>
      <c r="C64">
        <v>7</v>
      </c>
      <c r="D64">
        <v>1</v>
      </c>
      <c r="E64">
        <v>0</v>
      </c>
      <c r="F64">
        <v>2</v>
      </c>
      <c r="G64">
        <v>1</v>
      </c>
      <c r="H64">
        <v>0</v>
      </c>
      <c r="I64">
        <v>0</v>
      </c>
      <c r="J64">
        <v>0</v>
      </c>
      <c r="L64" t="s">
        <v>232</v>
      </c>
      <c r="M64">
        <v>11</v>
      </c>
      <c r="N64">
        <v>7</v>
      </c>
      <c r="O64">
        <v>1</v>
      </c>
      <c r="P64">
        <v>0</v>
      </c>
      <c r="Q64">
        <v>3</v>
      </c>
      <c r="R64">
        <v>0</v>
      </c>
      <c r="S64">
        <v>0</v>
      </c>
      <c r="T64">
        <v>0</v>
      </c>
      <c r="U64">
        <v>0</v>
      </c>
      <c r="W64">
        <f t="shared" si="0"/>
        <v>0</v>
      </c>
    </row>
    <row r="65" spans="1:23">
      <c r="A65" t="s">
        <v>233</v>
      </c>
      <c r="B65">
        <v>21</v>
      </c>
      <c r="C65">
        <v>14</v>
      </c>
      <c r="D65">
        <v>2</v>
      </c>
      <c r="E65">
        <v>1</v>
      </c>
      <c r="F65">
        <v>4</v>
      </c>
      <c r="G65">
        <v>0</v>
      </c>
      <c r="H65">
        <v>0</v>
      </c>
      <c r="I65">
        <v>0</v>
      </c>
      <c r="J65">
        <v>0</v>
      </c>
      <c r="L65" t="s">
        <v>233</v>
      </c>
      <c r="M65">
        <v>21</v>
      </c>
      <c r="N65">
        <v>14</v>
      </c>
      <c r="O65">
        <v>2</v>
      </c>
      <c r="P65">
        <v>1</v>
      </c>
      <c r="Q65">
        <v>4</v>
      </c>
      <c r="R65">
        <v>0</v>
      </c>
      <c r="S65">
        <v>0</v>
      </c>
      <c r="T65">
        <v>0</v>
      </c>
      <c r="U65">
        <v>0</v>
      </c>
      <c r="W65">
        <f t="shared" si="0"/>
        <v>0</v>
      </c>
    </row>
    <row r="66" spans="1:23">
      <c r="A66" t="s">
        <v>234</v>
      </c>
      <c r="B66">
        <v>23</v>
      </c>
      <c r="C66">
        <v>15</v>
      </c>
      <c r="D66">
        <v>2</v>
      </c>
      <c r="E66">
        <v>1</v>
      </c>
      <c r="F66">
        <v>4</v>
      </c>
      <c r="G66">
        <v>1</v>
      </c>
      <c r="H66">
        <v>0</v>
      </c>
      <c r="I66">
        <v>0</v>
      </c>
      <c r="J66">
        <v>0</v>
      </c>
      <c r="L66" t="s">
        <v>234</v>
      </c>
      <c r="M66">
        <v>23</v>
      </c>
      <c r="N66">
        <v>15</v>
      </c>
      <c r="O66">
        <v>2</v>
      </c>
      <c r="P66">
        <v>1</v>
      </c>
      <c r="Q66">
        <v>5</v>
      </c>
      <c r="R66">
        <v>0</v>
      </c>
      <c r="S66">
        <v>0</v>
      </c>
      <c r="T66">
        <v>0</v>
      </c>
      <c r="U66">
        <v>0</v>
      </c>
      <c r="W66">
        <f t="shared" si="0"/>
        <v>0</v>
      </c>
    </row>
    <row r="67" spans="1:23">
      <c r="A67" t="s">
        <v>235</v>
      </c>
      <c r="B67">
        <v>33</v>
      </c>
      <c r="C67">
        <v>9</v>
      </c>
      <c r="D67">
        <v>19</v>
      </c>
      <c r="E67">
        <v>2</v>
      </c>
      <c r="F67">
        <v>2</v>
      </c>
      <c r="G67">
        <v>1</v>
      </c>
      <c r="H67">
        <v>0</v>
      </c>
      <c r="I67">
        <v>0</v>
      </c>
      <c r="J67">
        <v>0</v>
      </c>
      <c r="L67" t="s">
        <v>235</v>
      </c>
      <c r="M67">
        <v>33</v>
      </c>
      <c r="N67">
        <v>9</v>
      </c>
      <c r="O67">
        <v>19</v>
      </c>
      <c r="P67">
        <v>2</v>
      </c>
      <c r="Q67">
        <v>3</v>
      </c>
      <c r="R67">
        <v>0</v>
      </c>
      <c r="S67">
        <v>0</v>
      </c>
      <c r="T67">
        <v>0</v>
      </c>
      <c r="U67">
        <v>0</v>
      </c>
      <c r="W67">
        <f t="shared" ref="W67:W130" si="1">B67-M67</f>
        <v>0</v>
      </c>
    </row>
    <row r="68" spans="1:23">
      <c r="A68" t="s">
        <v>236</v>
      </c>
      <c r="B68">
        <v>35</v>
      </c>
      <c r="C68">
        <v>10</v>
      </c>
      <c r="D68">
        <v>19</v>
      </c>
      <c r="E68">
        <v>2</v>
      </c>
      <c r="F68">
        <v>2</v>
      </c>
      <c r="G68">
        <v>2</v>
      </c>
      <c r="H68">
        <v>0</v>
      </c>
      <c r="I68">
        <v>0</v>
      </c>
      <c r="J68">
        <v>0</v>
      </c>
      <c r="L68" t="s">
        <v>236</v>
      </c>
      <c r="M68">
        <v>35</v>
      </c>
      <c r="N68">
        <v>10</v>
      </c>
      <c r="O68">
        <v>19</v>
      </c>
      <c r="P68">
        <v>2</v>
      </c>
      <c r="Q68">
        <v>4</v>
      </c>
      <c r="R68">
        <v>0</v>
      </c>
      <c r="S68">
        <v>0</v>
      </c>
      <c r="T68">
        <v>0</v>
      </c>
      <c r="U68">
        <v>0</v>
      </c>
      <c r="W68">
        <f t="shared" si="1"/>
        <v>0</v>
      </c>
    </row>
    <row r="69" spans="1:23">
      <c r="A69" t="s">
        <v>237</v>
      </c>
      <c r="B69">
        <v>171</v>
      </c>
      <c r="C69">
        <v>23</v>
      </c>
      <c r="D69">
        <v>82</v>
      </c>
      <c r="E69">
        <v>30</v>
      </c>
      <c r="F69">
        <v>11</v>
      </c>
      <c r="G69">
        <v>25</v>
      </c>
      <c r="H69">
        <v>0</v>
      </c>
      <c r="I69">
        <v>0</v>
      </c>
      <c r="J69">
        <v>0</v>
      </c>
      <c r="L69" t="s">
        <v>237</v>
      </c>
      <c r="M69">
        <v>171</v>
      </c>
      <c r="N69">
        <v>21</v>
      </c>
      <c r="O69">
        <v>81</v>
      </c>
      <c r="P69">
        <v>30</v>
      </c>
      <c r="Q69">
        <v>39</v>
      </c>
      <c r="R69">
        <v>0</v>
      </c>
      <c r="S69">
        <v>0</v>
      </c>
      <c r="T69">
        <v>0</v>
      </c>
      <c r="U69">
        <v>0</v>
      </c>
      <c r="W69">
        <f t="shared" si="1"/>
        <v>0</v>
      </c>
    </row>
    <row r="70" spans="1:23">
      <c r="A70" t="s">
        <v>239</v>
      </c>
      <c r="B70">
        <v>15</v>
      </c>
      <c r="C70">
        <v>7</v>
      </c>
      <c r="D70">
        <v>5</v>
      </c>
      <c r="E70">
        <v>0</v>
      </c>
      <c r="F70">
        <v>1</v>
      </c>
      <c r="G70">
        <v>2</v>
      </c>
      <c r="H70">
        <v>0</v>
      </c>
      <c r="I70">
        <v>0</v>
      </c>
      <c r="J70">
        <v>0</v>
      </c>
      <c r="L70" t="s">
        <v>239</v>
      </c>
      <c r="M70">
        <v>15</v>
      </c>
      <c r="N70">
        <v>7</v>
      </c>
      <c r="O70">
        <v>5</v>
      </c>
      <c r="P70">
        <v>0</v>
      </c>
      <c r="Q70">
        <v>3</v>
      </c>
      <c r="R70">
        <v>0</v>
      </c>
      <c r="S70">
        <v>0</v>
      </c>
      <c r="T70">
        <v>0</v>
      </c>
      <c r="U70">
        <v>0</v>
      </c>
      <c r="W70">
        <f t="shared" si="1"/>
        <v>0</v>
      </c>
    </row>
    <row r="71" spans="1:23">
      <c r="A71" t="s">
        <v>240</v>
      </c>
      <c r="B71">
        <v>17</v>
      </c>
      <c r="C71">
        <v>8</v>
      </c>
      <c r="D71">
        <v>5</v>
      </c>
      <c r="E71">
        <v>0</v>
      </c>
      <c r="F71">
        <v>1</v>
      </c>
      <c r="G71">
        <v>3</v>
      </c>
      <c r="H71">
        <v>0</v>
      </c>
      <c r="I71">
        <v>0</v>
      </c>
      <c r="J71">
        <v>0</v>
      </c>
      <c r="L71" t="s">
        <v>240</v>
      </c>
      <c r="M71">
        <v>17</v>
      </c>
      <c r="N71">
        <v>8</v>
      </c>
      <c r="O71">
        <v>5</v>
      </c>
      <c r="P71">
        <v>0</v>
      </c>
      <c r="Q71">
        <v>4</v>
      </c>
      <c r="R71">
        <v>0</v>
      </c>
      <c r="S71">
        <v>0</v>
      </c>
      <c r="T71">
        <v>0</v>
      </c>
      <c r="U71">
        <v>0</v>
      </c>
      <c r="W71">
        <f t="shared" si="1"/>
        <v>0</v>
      </c>
    </row>
    <row r="72" spans="1:23">
      <c r="A72" t="s">
        <v>241</v>
      </c>
      <c r="B72">
        <v>172</v>
      </c>
      <c r="C72">
        <v>24</v>
      </c>
      <c r="D72">
        <v>81</v>
      </c>
      <c r="E72">
        <v>30</v>
      </c>
      <c r="F72">
        <v>11</v>
      </c>
      <c r="G72">
        <v>26</v>
      </c>
      <c r="H72">
        <v>0</v>
      </c>
      <c r="I72">
        <v>0</v>
      </c>
      <c r="J72">
        <v>0</v>
      </c>
      <c r="L72" t="s">
        <v>241</v>
      </c>
      <c r="M72">
        <v>172</v>
      </c>
      <c r="N72">
        <v>22</v>
      </c>
      <c r="O72">
        <v>82</v>
      </c>
      <c r="P72">
        <v>30</v>
      </c>
      <c r="Q72">
        <v>38</v>
      </c>
      <c r="R72">
        <v>0</v>
      </c>
      <c r="S72">
        <v>0</v>
      </c>
      <c r="T72">
        <v>0</v>
      </c>
      <c r="U72">
        <v>0</v>
      </c>
      <c r="W72">
        <f t="shared" si="1"/>
        <v>0</v>
      </c>
    </row>
    <row r="73" spans="1:23">
      <c r="A73" t="s">
        <v>242</v>
      </c>
      <c r="B73">
        <v>23</v>
      </c>
      <c r="C73">
        <v>5</v>
      </c>
      <c r="D73">
        <v>17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  <c r="L73" t="s">
        <v>242</v>
      </c>
      <c r="M73">
        <v>23</v>
      </c>
      <c r="N73">
        <v>5</v>
      </c>
      <c r="O73">
        <v>17</v>
      </c>
      <c r="P73">
        <v>0</v>
      </c>
      <c r="Q73">
        <v>1</v>
      </c>
      <c r="R73">
        <v>0</v>
      </c>
      <c r="S73">
        <v>0</v>
      </c>
      <c r="T73">
        <v>0</v>
      </c>
      <c r="U73">
        <v>0</v>
      </c>
      <c r="W73">
        <f t="shared" si="1"/>
        <v>0</v>
      </c>
    </row>
    <row r="74" spans="1:23">
      <c r="A74" t="s">
        <v>243</v>
      </c>
      <c r="B74">
        <v>25</v>
      </c>
      <c r="C74">
        <v>6</v>
      </c>
      <c r="D74">
        <v>17</v>
      </c>
      <c r="E74">
        <v>0</v>
      </c>
      <c r="F74">
        <v>1</v>
      </c>
      <c r="G74">
        <v>1</v>
      </c>
      <c r="H74">
        <v>0</v>
      </c>
      <c r="I74">
        <v>0</v>
      </c>
      <c r="J74">
        <v>0</v>
      </c>
      <c r="L74" t="s">
        <v>243</v>
      </c>
      <c r="M74">
        <v>25</v>
      </c>
      <c r="N74">
        <v>6</v>
      </c>
      <c r="O74">
        <v>17</v>
      </c>
      <c r="P74">
        <v>0</v>
      </c>
      <c r="Q74">
        <v>2</v>
      </c>
      <c r="R74">
        <v>0</v>
      </c>
      <c r="S74">
        <v>0</v>
      </c>
      <c r="T74">
        <v>0</v>
      </c>
      <c r="U74">
        <v>0</v>
      </c>
      <c r="W74">
        <f t="shared" si="1"/>
        <v>0</v>
      </c>
    </row>
    <row r="75" spans="1:23">
      <c r="A75" t="s">
        <v>244</v>
      </c>
      <c r="B75">
        <v>25</v>
      </c>
      <c r="C75">
        <v>6</v>
      </c>
      <c r="D75">
        <v>17</v>
      </c>
      <c r="E75">
        <v>0</v>
      </c>
      <c r="F75">
        <v>1</v>
      </c>
      <c r="G75">
        <v>1</v>
      </c>
      <c r="H75">
        <v>0</v>
      </c>
      <c r="I75">
        <v>0</v>
      </c>
      <c r="J75">
        <v>0</v>
      </c>
      <c r="L75" t="s">
        <v>244</v>
      </c>
      <c r="M75">
        <v>25</v>
      </c>
      <c r="N75">
        <v>6</v>
      </c>
      <c r="O75">
        <v>17</v>
      </c>
      <c r="P75">
        <v>0</v>
      </c>
      <c r="Q75">
        <v>2</v>
      </c>
      <c r="R75">
        <v>0</v>
      </c>
      <c r="S75">
        <v>0</v>
      </c>
      <c r="T75">
        <v>0</v>
      </c>
      <c r="U75">
        <v>0</v>
      </c>
      <c r="W75">
        <f t="shared" si="1"/>
        <v>0</v>
      </c>
    </row>
    <row r="76" spans="1:23">
      <c r="A76" t="s">
        <v>245</v>
      </c>
      <c r="B76">
        <v>22</v>
      </c>
      <c r="C76">
        <v>8</v>
      </c>
      <c r="D76">
        <v>11</v>
      </c>
      <c r="E76">
        <v>0</v>
      </c>
      <c r="F76">
        <v>3</v>
      </c>
      <c r="G76">
        <v>0</v>
      </c>
      <c r="H76">
        <v>0</v>
      </c>
      <c r="I76">
        <v>0</v>
      </c>
      <c r="J76">
        <v>0</v>
      </c>
      <c r="L76" t="s">
        <v>245</v>
      </c>
      <c r="M76">
        <v>22</v>
      </c>
      <c r="N76">
        <v>8</v>
      </c>
      <c r="O76">
        <v>11</v>
      </c>
      <c r="P76">
        <v>0</v>
      </c>
      <c r="Q76">
        <v>3</v>
      </c>
      <c r="R76">
        <v>0</v>
      </c>
      <c r="S76">
        <v>0</v>
      </c>
      <c r="T76">
        <v>0</v>
      </c>
      <c r="U76">
        <v>0</v>
      </c>
      <c r="W76">
        <f t="shared" si="1"/>
        <v>0</v>
      </c>
    </row>
    <row r="77" spans="1:23">
      <c r="A77" t="s">
        <v>246</v>
      </c>
      <c r="B77">
        <v>24</v>
      </c>
      <c r="C77">
        <v>9</v>
      </c>
      <c r="D77">
        <v>11</v>
      </c>
      <c r="E77">
        <v>0</v>
      </c>
      <c r="F77">
        <v>3</v>
      </c>
      <c r="G77">
        <v>1</v>
      </c>
      <c r="H77">
        <v>0</v>
      </c>
      <c r="I77">
        <v>0</v>
      </c>
      <c r="J77">
        <v>0</v>
      </c>
      <c r="L77" t="s">
        <v>246</v>
      </c>
      <c r="M77">
        <v>24</v>
      </c>
      <c r="N77">
        <v>9</v>
      </c>
      <c r="O77">
        <v>11</v>
      </c>
      <c r="P77">
        <v>0</v>
      </c>
      <c r="Q77">
        <v>4</v>
      </c>
      <c r="R77">
        <v>0</v>
      </c>
      <c r="S77">
        <v>0</v>
      </c>
      <c r="T77">
        <v>0</v>
      </c>
      <c r="U77">
        <v>0</v>
      </c>
      <c r="W77">
        <f t="shared" si="1"/>
        <v>0</v>
      </c>
    </row>
    <row r="78" spans="1:23">
      <c r="A78" t="s">
        <v>247</v>
      </c>
      <c r="B78">
        <v>13</v>
      </c>
      <c r="C78">
        <v>6</v>
      </c>
      <c r="D78">
        <v>4</v>
      </c>
      <c r="E78">
        <v>0</v>
      </c>
      <c r="F78">
        <v>0</v>
      </c>
      <c r="G78">
        <v>3</v>
      </c>
      <c r="H78">
        <v>0</v>
      </c>
      <c r="I78">
        <v>0</v>
      </c>
      <c r="J78">
        <v>0</v>
      </c>
      <c r="L78" t="s">
        <v>247</v>
      </c>
      <c r="M78">
        <v>13</v>
      </c>
      <c r="N78">
        <v>6</v>
      </c>
      <c r="O78">
        <v>4</v>
      </c>
      <c r="P78">
        <v>0</v>
      </c>
      <c r="Q78">
        <v>3</v>
      </c>
      <c r="R78">
        <v>0</v>
      </c>
      <c r="S78">
        <v>0</v>
      </c>
      <c r="T78">
        <v>0</v>
      </c>
      <c r="U78">
        <v>0</v>
      </c>
      <c r="W78">
        <f t="shared" si="1"/>
        <v>0</v>
      </c>
    </row>
    <row r="79" spans="1:23">
      <c r="A79" t="s">
        <v>248</v>
      </c>
      <c r="B79">
        <v>15</v>
      </c>
      <c r="C79">
        <v>7</v>
      </c>
      <c r="D79">
        <v>5</v>
      </c>
      <c r="E79">
        <v>0</v>
      </c>
      <c r="F79">
        <v>0</v>
      </c>
      <c r="G79">
        <v>3</v>
      </c>
      <c r="H79">
        <v>0</v>
      </c>
      <c r="I79">
        <v>0</v>
      </c>
      <c r="J79">
        <v>0</v>
      </c>
      <c r="L79" t="s">
        <v>248</v>
      </c>
      <c r="M79">
        <v>15</v>
      </c>
      <c r="N79">
        <v>7</v>
      </c>
      <c r="O79">
        <v>5</v>
      </c>
      <c r="P79">
        <v>0</v>
      </c>
      <c r="Q79">
        <v>3</v>
      </c>
      <c r="R79">
        <v>0</v>
      </c>
      <c r="S79">
        <v>0</v>
      </c>
      <c r="T79">
        <v>0</v>
      </c>
      <c r="U79">
        <v>0</v>
      </c>
      <c r="W79">
        <f t="shared" si="1"/>
        <v>0</v>
      </c>
    </row>
    <row r="80" spans="1:23">
      <c r="A80" t="s">
        <v>249</v>
      </c>
      <c r="B80">
        <v>15</v>
      </c>
      <c r="C80">
        <v>7</v>
      </c>
      <c r="D80">
        <v>5</v>
      </c>
      <c r="E80">
        <v>0</v>
      </c>
      <c r="F80">
        <v>0</v>
      </c>
      <c r="G80">
        <v>3</v>
      </c>
      <c r="H80">
        <v>0</v>
      </c>
      <c r="I80">
        <v>0</v>
      </c>
      <c r="J80">
        <v>0</v>
      </c>
      <c r="L80" t="s">
        <v>249</v>
      </c>
      <c r="M80">
        <v>15</v>
      </c>
      <c r="N80">
        <v>7</v>
      </c>
      <c r="O80">
        <v>5</v>
      </c>
      <c r="P80">
        <v>0</v>
      </c>
      <c r="Q80">
        <v>3</v>
      </c>
      <c r="R80">
        <v>0</v>
      </c>
      <c r="S80">
        <v>0</v>
      </c>
      <c r="T80">
        <v>0</v>
      </c>
      <c r="U80">
        <v>0</v>
      </c>
      <c r="W80">
        <f t="shared" si="1"/>
        <v>0</v>
      </c>
    </row>
    <row r="81" spans="1:23">
      <c r="A81" t="s">
        <v>250</v>
      </c>
      <c r="B81">
        <v>13</v>
      </c>
      <c r="C81">
        <v>6</v>
      </c>
      <c r="D81">
        <v>5</v>
      </c>
      <c r="E81">
        <v>0</v>
      </c>
      <c r="F81">
        <v>0</v>
      </c>
      <c r="G81">
        <v>2</v>
      </c>
      <c r="H81">
        <v>0</v>
      </c>
      <c r="I81">
        <v>0</v>
      </c>
      <c r="J81">
        <v>0</v>
      </c>
      <c r="L81" t="s">
        <v>250</v>
      </c>
      <c r="M81">
        <v>13</v>
      </c>
      <c r="N81">
        <v>6</v>
      </c>
      <c r="O81">
        <v>5</v>
      </c>
      <c r="P81">
        <v>0</v>
      </c>
      <c r="Q81">
        <v>2</v>
      </c>
      <c r="R81">
        <v>0</v>
      </c>
      <c r="S81">
        <v>0</v>
      </c>
      <c r="T81">
        <v>0</v>
      </c>
      <c r="U81">
        <v>0</v>
      </c>
      <c r="W81">
        <f t="shared" si="1"/>
        <v>0</v>
      </c>
    </row>
    <row r="82" spans="1:23">
      <c r="A82" t="s">
        <v>251</v>
      </c>
      <c r="B82">
        <v>13</v>
      </c>
      <c r="C82">
        <v>5</v>
      </c>
      <c r="D82">
        <v>6</v>
      </c>
      <c r="E82">
        <v>0</v>
      </c>
      <c r="F82">
        <v>0</v>
      </c>
      <c r="G82">
        <v>2</v>
      </c>
      <c r="H82">
        <v>0</v>
      </c>
      <c r="I82">
        <v>0</v>
      </c>
      <c r="J82">
        <v>0</v>
      </c>
      <c r="L82" t="s">
        <v>251</v>
      </c>
      <c r="M82">
        <v>13</v>
      </c>
      <c r="N82">
        <v>5</v>
      </c>
      <c r="O82">
        <v>6</v>
      </c>
      <c r="P82">
        <v>0</v>
      </c>
      <c r="Q82">
        <v>2</v>
      </c>
      <c r="R82">
        <v>0</v>
      </c>
      <c r="S82">
        <v>0</v>
      </c>
      <c r="T82">
        <v>0</v>
      </c>
      <c r="U82">
        <v>0</v>
      </c>
      <c r="W82">
        <f t="shared" si="1"/>
        <v>0</v>
      </c>
    </row>
    <row r="83" spans="1:23">
      <c r="A83" t="s">
        <v>252</v>
      </c>
      <c r="B83">
        <v>15</v>
      </c>
      <c r="C83">
        <v>6</v>
      </c>
      <c r="D83">
        <v>6</v>
      </c>
      <c r="E83">
        <v>0</v>
      </c>
      <c r="F83">
        <v>0</v>
      </c>
      <c r="G83">
        <v>3</v>
      </c>
      <c r="H83">
        <v>0</v>
      </c>
      <c r="I83">
        <v>0</v>
      </c>
      <c r="J83">
        <v>0</v>
      </c>
      <c r="L83" t="s">
        <v>252</v>
      </c>
      <c r="M83">
        <v>15</v>
      </c>
      <c r="N83">
        <v>6</v>
      </c>
      <c r="O83">
        <v>6</v>
      </c>
      <c r="P83">
        <v>0</v>
      </c>
      <c r="Q83">
        <v>3</v>
      </c>
      <c r="R83">
        <v>0</v>
      </c>
      <c r="S83">
        <v>0</v>
      </c>
      <c r="T83">
        <v>0</v>
      </c>
      <c r="U83">
        <v>0</v>
      </c>
      <c r="W83">
        <f t="shared" si="1"/>
        <v>0</v>
      </c>
    </row>
    <row r="84" spans="1:23">
      <c r="A84" t="s">
        <v>253</v>
      </c>
      <c r="B84">
        <v>3</v>
      </c>
      <c r="C84">
        <v>2</v>
      </c>
      <c r="D84">
        <v>0</v>
      </c>
      <c r="E84">
        <v>0</v>
      </c>
      <c r="F84">
        <v>0</v>
      </c>
      <c r="G84">
        <v>1</v>
      </c>
      <c r="H84">
        <v>0</v>
      </c>
      <c r="I84">
        <v>0</v>
      </c>
      <c r="J84">
        <v>0</v>
      </c>
      <c r="L84" t="s">
        <v>253</v>
      </c>
      <c r="M84">
        <v>3</v>
      </c>
      <c r="N84">
        <v>2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0</v>
      </c>
      <c r="W84">
        <f t="shared" si="1"/>
        <v>0</v>
      </c>
    </row>
    <row r="85" spans="1:23">
      <c r="A85" t="s">
        <v>254</v>
      </c>
      <c r="B85">
        <v>14</v>
      </c>
      <c r="C85">
        <v>4</v>
      </c>
      <c r="D85">
        <v>5</v>
      </c>
      <c r="E85">
        <v>0</v>
      </c>
      <c r="F85">
        <v>0</v>
      </c>
      <c r="G85">
        <v>5</v>
      </c>
      <c r="H85">
        <v>0</v>
      </c>
      <c r="I85">
        <v>0</v>
      </c>
      <c r="J85">
        <v>0</v>
      </c>
      <c r="L85" t="s">
        <v>254</v>
      </c>
      <c r="M85">
        <v>14</v>
      </c>
      <c r="N85">
        <v>4</v>
      </c>
      <c r="O85">
        <v>5</v>
      </c>
      <c r="P85">
        <v>0</v>
      </c>
      <c r="Q85">
        <v>5</v>
      </c>
      <c r="R85">
        <v>0</v>
      </c>
      <c r="S85">
        <v>0</v>
      </c>
      <c r="T85">
        <v>0</v>
      </c>
      <c r="U85">
        <v>0</v>
      </c>
      <c r="W85">
        <f t="shared" si="1"/>
        <v>0</v>
      </c>
    </row>
    <row r="86" spans="1:23">
      <c r="A86" t="s">
        <v>255</v>
      </c>
      <c r="B86">
        <v>16</v>
      </c>
      <c r="C86">
        <v>5</v>
      </c>
      <c r="D86">
        <v>5</v>
      </c>
      <c r="E86">
        <v>0</v>
      </c>
      <c r="F86">
        <v>0</v>
      </c>
      <c r="G86">
        <v>6</v>
      </c>
      <c r="H86">
        <v>0</v>
      </c>
      <c r="I86">
        <v>0</v>
      </c>
      <c r="J86">
        <v>0</v>
      </c>
      <c r="L86" t="s">
        <v>255</v>
      </c>
      <c r="M86">
        <v>16</v>
      </c>
      <c r="N86">
        <v>5</v>
      </c>
      <c r="O86">
        <v>5</v>
      </c>
      <c r="P86">
        <v>0</v>
      </c>
      <c r="Q86">
        <v>6</v>
      </c>
      <c r="R86">
        <v>0</v>
      </c>
      <c r="S86">
        <v>0</v>
      </c>
      <c r="T86">
        <v>0</v>
      </c>
      <c r="U86">
        <v>0</v>
      </c>
      <c r="W86">
        <f t="shared" si="1"/>
        <v>0</v>
      </c>
    </row>
    <row r="87" spans="1:23">
      <c r="A87" t="s">
        <v>256</v>
      </c>
      <c r="B87">
        <v>24</v>
      </c>
      <c r="C87">
        <v>5</v>
      </c>
      <c r="D87">
        <v>15</v>
      </c>
      <c r="E87">
        <v>0</v>
      </c>
      <c r="F87">
        <v>1</v>
      </c>
      <c r="G87">
        <v>3</v>
      </c>
      <c r="H87">
        <v>0</v>
      </c>
      <c r="I87">
        <v>0</v>
      </c>
      <c r="J87">
        <v>0</v>
      </c>
      <c r="L87" t="s">
        <v>256</v>
      </c>
      <c r="M87">
        <v>24</v>
      </c>
      <c r="N87">
        <v>5</v>
      </c>
      <c r="O87">
        <v>15</v>
      </c>
      <c r="P87">
        <v>0</v>
      </c>
      <c r="Q87">
        <v>4</v>
      </c>
      <c r="R87">
        <v>0</v>
      </c>
      <c r="S87">
        <v>0</v>
      </c>
      <c r="T87">
        <v>0</v>
      </c>
      <c r="U87">
        <v>0</v>
      </c>
      <c r="W87">
        <f t="shared" si="1"/>
        <v>0</v>
      </c>
    </row>
    <row r="88" spans="1:23">
      <c r="A88" t="s">
        <v>257</v>
      </c>
      <c r="B88">
        <v>26</v>
      </c>
      <c r="C88">
        <v>6</v>
      </c>
      <c r="D88">
        <v>15</v>
      </c>
      <c r="E88">
        <v>0</v>
      </c>
      <c r="F88">
        <v>1</v>
      </c>
      <c r="G88">
        <v>4</v>
      </c>
      <c r="H88">
        <v>0</v>
      </c>
      <c r="I88">
        <v>0</v>
      </c>
      <c r="J88">
        <v>0</v>
      </c>
      <c r="L88" t="s">
        <v>257</v>
      </c>
      <c r="M88">
        <v>26</v>
      </c>
      <c r="N88">
        <v>6</v>
      </c>
      <c r="O88">
        <v>15</v>
      </c>
      <c r="P88">
        <v>0</v>
      </c>
      <c r="Q88">
        <v>5</v>
      </c>
      <c r="R88">
        <v>0</v>
      </c>
      <c r="S88">
        <v>0</v>
      </c>
      <c r="T88">
        <v>0</v>
      </c>
      <c r="U88">
        <v>0</v>
      </c>
      <c r="W88">
        <f t="shared" si="1"/>
        <v>0</v>
      </c>
    </row>
    <row r="89" spans="1:23">
      <c r="A89" t="s">
        <v>258</v>
      </c>
      <c r="B89">
        <v>10</v>
      </c>
      <c r="C89">
        <v>4</v>
      </c>
      <c r="D89">
        <v>5</v>
      </c>
      <c r="E89">
        <v>0</v>
      </c>
      <c r="F89">
        <v>0</v>
      </c>
      <c r="G89">
        <v>1</v>
      </c>
      <c r="H89">
        <v>0</v>
      </c>
      <c r="I89">
        <v>0</v>
      </c>
      <c r="J89">
        <v>0</v>
      </c>
      <c r="L89" t="s">
        <v>258</v>
      </c>
      <c r="M89">
        <v>10</v>
      </c>
      <c r="N89">
        <v>4</v>
      </c>
      <c r="O89">
        <v>5</v>
      </c>
      <c r="P89">
        <v>0</v>
      </c>
      <c r="Q89">
        <v>1</v>
      </c>
      <c r="R89">
        <v>0</v>
      </c>
      <c r="S89">
        <v>0</v>
      </c>
      <c r="T89">
        <v>0</v>
      </c>
      <c r="U89">
        <v>0</v>
      </c>
      <c r="W89">
        <f t="shared" si="1"/>
        <v>0</v>
      </c>
    </row>
    <row r="90" spans="1:23">
      <c r="A90" t="s">
        <v>259</v>
      </c>
      <c r="B90">
        <v>12</v>
      </c>
      <c r="C90">
        <v>5</v>
      </c>
      <c r="D90">
        <v>5</v>
      </c>
      <c r="E90">
        <v>0</v>
      </c>
      <c r="F90">
        <v>0</v>
      </c>
      <c r="G90">
        <v>2</v>
      </c>
      <c r="H90">
        <v>0</v>
      </c>
      <c r="I90">
        <v>0</v>
      </c>
      <c r="J90">
        <v>0</v>
      </c>
      <c r="L90" t="s">
        <v>259</v>
      </c>
      <c r="M90">
        <v>12</v>
      </c>
      <c r="N90">
        <v>5</v>
      </c>
      <c r="O90">
        <v>5</v>
      </c>
      <c r="P90">
        <v>0</v>
      </c>
      <c r="Q90">
        <v>2</v>
      </c>
      <c r="R90">
        <v>0</v>
      </c>
      <c r="S90">
        <v>0</v>
      </c>
      <c r="T90">
        <v>0</v>
      </c>
      <c r="U90">
        <v>0</v>
      </c>
      <c r="W90">
        <f t="shared" si="1"/>
        <v>0</v>
      </c>
    </row>
    <row r="91" spans="1:23">
      <c r="A91" t="s">
        <v>261</v>
      </c>
      <c r="B91">
        <v>11</v>
      </c>
      <c r="C91">
        <v>6</v>
      </c>
      <c r="D91">
        <v>2</v>
      </c>
      <c r="E91">
        <v>0</v>
      </c>
      <c r="F91">
        <v>0</v>
      </c>
      <c r="G91">
        <v>3</v>
      </c>
      <c r="H91">
        <v>0</v>
      </c>
      <c r="I91">
        <v>0</v>
      </c>
      <c r="J91">
        <v>0</v>
      </c>
      <c r="L91" t="s">
        <v>261</v>
      </c>
      <c r="M91">
        <v>11</v>
      </c>
      <c r="N91">
        <v>6</v>
      </c>
      <c r="O91">
        <v>2</v>
      </c>
      <c r="P91">
        <v>0</v>
      </c>
      <c r="Q91">
        <v>3</v>
      </c>
      <c r="R91">
        <v>0</v>
      </c>
      <c r="S91">
        <v>0</v>
      </c>
      <c r="T91">
        <v>0</v>
      </c>
      <c r="U91">
        <v>0</v>
      </c>
      <c r="W91">
        <f t="shared" si="1"/>
        <v>0</v>
      </c>
    </row>
    <row r="92" spans="1:23">
      <c r="A92" t="s">
        <v>262</v>
      </c>
      <c r="B92">
        <v>13</v>
      </c>
      <c r="C92">
        <v>7</v>
      </c>
      <c r="D92">
        <v>2</v>
      </c>
      <c r="E92">
        <v>0</v>
      </c>
      <c r="F92">
        <v>0</v>
      </c>
      <c r="G92">
        <v>4</v>
      </c>
      <c r="H92">
        <v>0</v>
      </c>
      <c r="I92">
        <v>0</v>
      </c>
      <c r="J92">
        <v>0</v>
      </c>
      <c r="L92" t="s">
        <v>262</v>
      </c>
      <c r="M92">
        <v>13</v>
      </c>
      <c r="N92">
        <v>7</v>
      </c>
      <c r="O92">
        <v>2</v>
      </c>
      <c r="P92">
        <v>0</v>
      </c>
      <c r="Q92">
        <v>4</v>
      </c>
      <c r="R92">
        <v>0</v>
      </c>
      <c r="S92">
        <v>0</v>
      </c>
      <c r="T92">
        <v>0</v>
      </c>
      <c r="U92">
        <v>0</v>
      </c>
      <c r="W92">
        <f t="shared" si="1"/>
        <v>0</v>
      </c>
    </row>
    <row r="93" spans="1:23">
      <c r="A93" t="s">
        <v>263</v>
      </c>
      <c r="B93">
        <v>13</v>
      </c>
      <c r="C93">
        <v>7</v>
      </c>
      <c r="D93">
        <v>2</v>
      </c>
      <c r="E93">
        <v>0</v>
      </c>
      <c r="F93">
        <v>0</v>
      </c>
      <c r="G93">
        <v>4</v>
      </c>
      <c r="H93">
        <v>0</v>
      </c>
      <c r="I93">
        <v>0</v>
      </c>
      <c r="J93">
        <v>0</v>
      </c>
      <c r="L93" t="s">
        <v>263</v>
      </c>
      <c r="M93">
        <v>13</v>
      </c>
      <c r="N93">
        <v>7</v>
      </c>
      <c r="O93">
        <v>2</v>
      </c>
      <c r="P93">
        <v>0</v>
      </c>
      <c r="Q93">
        <v>4</v>
      </c>
      <c r="R93">
        <v>0</v>
      </c>
      <c r="S93">
        <v>0</v>
      </c>
      <c r="T93">
        <v>0</v>
      </c>
      <c r="U93">
        <v>0</v>
      </c>
      <c r="W93">
        <f t="shared" si="1"/>
        <v>0</v>
      </c>
    </row>
    <row r="94" spans="1:23">
      <c r="A94" t="s">
        <v>264</v>
      </c>
      <c r="B94">
        <v>5</v>
      </c>
      <c r="C94">
        <v>4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L94" t="s">
        <v>264</v>
      </c>
      <c r="M94">
        <v>5</v>
      </c>
      <c r="N94">
        <v>4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W94">
        <f t="shared" si="1"/>
        <v>0</v>
      </c>
    </row>
    <row r="95" spans="1:23">
      <c r="A95" t="s">
        <v>265</v>
      </c>
      <c r="B95">
        <v>8</v>
      </c>
      <c r="C95">
        <v>5</v>
      </c>
      <c r="D95">
        <v>2</v>
      </c>
      <c r="E95">
        <v>0</v>
      </c>
      <c r="F95">
        <v>0</v>
      </c>
      <c r="G95">
        <v>1</v>
      </c>
      <c r="H95">
        <v>0</v>
      </c>
      <c r="I95">
        <v>0</v>
      </c>
      <c r="J95">
        <v>0</v>
      </c>
      <c r="L95" t="s">
        <v>265</v>
      </c>
      <c r="M95">
        <v>8</v>
      </c>
      <c r="N95">
        <v>5</v>
      </c>
      <c r="O95">
        <v>2</v>
      </c>
      <c r="P95">
        <v>0</v>
      </c>
      <c r="Q95">
        <v>1</v>
      </c>
      <c r="R95">
        <v>0</v>
      </c>
      <c r="S95">
        <v>0</v>
      </c>
      <c r="T95">
        <v>0</v>
      </c>
      <c r="U95">
        <v>0</v>
      </c>
      <c r="W95">
        <f t="shared" si="1"/>
        <v>0</v>
      </c>
    </row>
    <row r="96" spans="1:23">
      <c r="A96" t="s">
        <v>266</v>
      </c>
      <c r="B96">
        <v>8</v>
      </c>
      <c r="C96">
        <v>5</v>
      </c>
      <c r="D96">
        <v>2</v>
      </c>
      <c r="E96">
        <v>0</v>
      </c>
      <c r="F96">
        <v>0</v>
      </c>
      <c r="G96">
        <v>1</v>
      </c>
      <c r="H96">
        <v>0</v>
      </c>
      <c r="I96">
        <v>0</v>
      </c>
      <c r="J96">
        <v>0</v>
      </c>
      <c r="L96" t="s">
        <v>266</v>
      </c>
      <c r="M96">
        <v>8</v>
      </c>
      <c r="N96">
        <v>5</v>
      </c>
      <c r="O96">
        <v>2</v>
      </c>
      <c r="P96">
        <v>0</v>
      </c>
      <c r="Q96">
        <v>1</v>
      </c>
      <c r="R96">
        <v>0</v>
      </c>
      <c r="S96">
        <v>0</v>
      </c>
      <c r="T96">
        <v>0</v>
      </c>
      <c r="U96">
        <v>0</v>
      </c>
      <c r="W96">
        <f t="shared" si="1"/>
        <v>0</v>
      </c>
    </row>
    <row r="97" spans="1:23">
      <c r="A97" t="s">
        <v>267</v>
      </c>
      <c r="B97">
        <v>3</v>
      </c>
      <c r="C97">
        <v>2</v>
      </c>
      <c r="D97">
        <v>0</v>
      </c>
      <c r="E97">
        <v>0</v>
      </c>
      <c r="F97">
        <v>0</v>
      </c>
      <c r="G97">
        <v>1</v>
      </c>
      <c r="H97">
        <v>0</v>
      </c>
      <c r="I97">
        <v>0</v>
      </c>
      <c r="J97">
        <v>0</v>
      </c>
      <c r="L97" t="s">
        <v>267</v>
      </c>
      <c r="M97">
        <v>3</v>
      </c>
      <c r="N97">
        <v>2</v>
      </c>
      <c r="O97">
        <v>0</v>
      </c>
      <c r="P97">
        <v>0</v>
      </c>
      <c r="Q97">
        <v>1</v>
      </c>
      <c r="R97">
        <v>0</v>
      </c>
      <c r="S97">
        <v>0</v>
      </c>
      <c r="T97">
        <v>0</v>
      </c>
      <c r="U97">
        <v>0</v>
      </c>
      <c r="W97">
        <f t="shared" si="1"/>
        <v>0</v>
      </c>
    </row>
    <row r="98" spans="1:23">
      <c r="A98" t="s">
        <v>268</v>
      </c>
      <c r="B98">
        <v>25</v>
      </c>
      <c r="C98">
        <v>9</v>
      </c>
      <c r="D98">
        <v>10</v>
      </c>
      <c r="E98">
        <v>0</v>
      </c>
      <c r="F98">
        <v>0</v>
      </c>
      <c r="G98">
        <v>6</v>
      </c>
      <c r="H98">
        <v>0</v>
      </c>
      <c r="I98">
        <v>0</v>
      </c>
      <c r="J98">
        <v>0</v>
      </c>
      <c r="L98" t="s">
        <v>268</v>
      </c>
      <c r="M98">
        <v>25</v>
      </c>
      <c r="N98">
        <v>9</v>
      </c>
      <c r="O98">
        <v>10</v>
      </c>
      <c r="P98">
        <v>0</v>
      </c>
      <c r="Q98">
        <v>6</v>
      </c>
      <c r="R98">
        <v>0</v>
      </c>
      <c r="S98">
        <v>0</v>
      </c>
      <c r="T98">
        <v>0</v>
      </c>
      <c r="U98">
        <v>0</v>
      </c>
      <c r="W98">
        <f t="shared" si="1"/>
        <v>0</v>
      </c>
    </row>
    <row r="99" spans="1:23">
      <c r="A99" t="s">
        <v>269</v>
      </c>
      <c r="B99">
        <v>27</v>
      </c>
      <c r="C99">
        <v>10</v>
      </c>
      <c r="D99">
        <v>10</v>
      </c>
      <c r="E99">
        <v>0</v>
      </c>
      <c r="F99">
        <v>0</v>
      </c>
      <c r="G99">
        <v>7</v>
      </c>
      <c r="H99">
        <v>0</v>
      </c>
      <c r="I99">
        <v>0</v>
      </c>
      <c r="J99">
        <v>0</v>
      </c>
      <c r="L99" t="s">
        <v>269</v>
      </c>
      <c r="M99">
        <v>27</v>
      </c>
      <c r="N99">
        <v>10</v>
      </c>
      <c r="O99">
        <v>10</v>
      </c>
      <c r="P99">
        <v>0</v>
      </c>
      <c r="Q99">
        <v>7</v>
      </c>
      <c r="R99">
        <v>0</v>
      </c>
      <c r="S99">
        <v>0</v>
      </c>
      <c r="T99">
        <v>0</v>
      </c>
      <c r="U99">
        <v>0</v>
      </c>
      <c r="W99">
        <f t="shared" si="1"/>
        <v>0</v>
      </c>
    </row>
    <row r="100" spans="1:23">
      <c r="A100" t="s">
        <v>270</v>
      </c>
      <c r="B100">
        <v>5</v>
      </c>
      <c r="C100">
        <v>4</v>
      </c>
      <c r="D100">
        <v>0</v>
      </c>
      <c r="E100">
        <v>0</v>
      </c>
      <c r="F100">
        <v>1</v>
      </c>
      <c r="G100">
        <v>0</v>
      </c>
      <c r="H100">
        <v>0</v>
      </c>
      <c r="I100">
        <v>0</v>
      </c>
      <c r="J100">
        <v>0</v>
      </c>
      <c r="L100" t="s">
        <v>270</v>
      </c>
      <c r="M100">
        <v>5</v>
      </c>
      <c r="N100">
        <v>4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0</v>
      </c>
      <c r="W100">
        <f t="shared" si="1"/>
        <v>0</v>
      </c>
    </row>
    <row r="101" spans="1:23">
      <c r="A101" t="s">
        <v>271</v>
      </c>
      <c r="B101">
        <v>22</v>
      </c>
      <c r="C101">
        <v>9</v>
      </c>
      <c r="D101">
        <v>8</v>
      </c>
      <c r="E101">
        <v>0</v>
      </c>
      <c r="F101">
        <v>5</v>
      </c>
      <c r="G101">
        <v>0</v>
      </c>
      <c r="H101">
        <v>0</v>
      </c>
      <c r="I101">
        <v>0</v>
      </c>
      <c r="J101">
        <v>0</v>
      </c>
      <c r="L101" t="s">
        <v>271</v>
      </c>
      <c r="M101">
        <v>22</v>
      </c>
      <c r="N101">
        <v>9</v>
      </c>
      <c r="O101">
        <v>8</v>
      </c>
      <c r="P101">
        <v>0</v>
      </c>
      <c r="Q101">
        <v>5</v>
      </c>
      <c r="R101">
        <v>0</v>
      </c>
      <c r="S101">
        <v>0</v>
      </c>
      <c r="T101">
        <v>0</v>
      </c>
      <c r="U101">
        <v>0</v>
      </c>
      <c r="W101">
        <f t="shared" si="1"/>
        <v>0</v>
      </c>
    </row>
    <row r="102" spans="1:23">
      <c r="A102" t="s">
        <v>272</v>
      </c>
      <c r="B102">
        <v>24</v>
      </c>
      <c r="C102">
        <v>10</v>
      </c>
      <c r="D102">
        <v>8</v>
      </c>
      <c r="E102">
        <v>0</v>
      </c>
      <c r="F102">
        <v>5</v>
      </c>
      <c r="G102">
        <v>1</v>
      </c>
      <c r="H102">
        <v>0</v>
      </c>
      <c r="I102">
        <v>0</v>
      </c>
      <c r="J102">
        <v>0</v>
      </c>
      <c r="L102" t="s">
        <v>272</v>
      </c>
      <c r="M102">
        <v>24</v>
      </c>
      <c r="N102">
        <v>10</v>
      </c>
      <c r="O102">
        <v>8</v>
      </c>
      <c r="P102">
        <v>0</v>
      </c>
      <c r="Q102">
        <v>6</v>
      </c>
      <c r="R102">
        <v>0</v>
      </c>
      <c r="S102">
        <v>0</v>
      </c>
      <c r="T102">
        <v>0</v>
      </c>
      <c r="U102">
        <v>0</v>
      </c>
      <c r="W102">
        <f t="shared" si="1"/>
        <v>0</v>
      </c>
    </row>
    <row r="103" spans="1:23">
      <c r="A103" t="s">
        <v>65</v>
      </c>
      <c r="B103">
        <v>4</v>
      </c>
      <c r="C103">
        <v>0</v>
      </c>
      <c r="D103">
        <v>3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0</v>
      </c>
      <c r="L103" t="s">
        <v>65</v>
      </c>
      <c r="M103">
        <v>4</v>
      </c>
      <c r="N103">
        <v>0</v>
      </c>
      <c r="O103">
        <v>3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0</v>
      </c>
      <c r="W103">
        <f t="shared" si="1"/>
        <v>0</v>
      </c>
    </row>
    <row r="104" spans="1:23">
      <c r="A104" t="s">
        <v>66</v>
      </c>
      <c r="B104">
        <v>3</v>
      </c>
      <c r="C104">
        <v>0</v>
      </c>
      <c r="D104">
        <v>3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L104" t="s">
        <v>66</v>
      </c>
      <c r="M104">
        <v>3</v>
      </c>
      <c r="N104">
        <v>0</v>
      </c>
      <c r="O104">
        <v>3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W104">
        <f t="shared" si="1"/>
        <v>0</v>
      </c>
    </row>
    <row r="105" spans="1:23">
      <c r="A105" t="s">
        <v>67</v>
      </c>
      <c r="B105">
        <v>3</v>
      </c>
      <c r="C105">
        <v>0</v>
      </c>
      <c r="D105">
        <v>3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L105" t="s">
        <v>67</v>
      </c>
      <c r="M105">
        <v>3</v>
      </c>
      <c r="N105">
        <v>0</v>
      </c>
      <c r="O105">
        <v>3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W105">
        <f t="shared" si="1"/>
        <v>0</v>
      </c>
    </row>
    <row r="106" spans="1:23">
      <c r="A106" t="s">
        <v>68</v>
      </c>
      <c r="B106">
        <v>3</v>
      </c>
      <c r="C106">
        <v>0</v>
      </c>
      <c r="D106">
        <v>3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L106" t="s">
        <v>68</v>
      </c>
      <c r="M106">
        <v>3</v>
      </c>
      <c r="N106">
        <v>0</v>
      </c>
      <c r="O106">
        <v>3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W106">
        <f t="shared" si="1"/>
        <v>0</v>
      </c>
    </row>
    <row r="107" spans="1:23">
      <c r="A107" t="s">
        <v>69</v>
      </c>
      <c r="B107">
        <v>3</v>
      </c>
      <c r="C107">
        <v>0</v>
      </c>
      <c r="D107">
        <v>3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L107" t="s">
        <v>69</v>
      </c>
      <c r="M107">
        <v>3</v>
      </c>
      <c r="N107">
        <v>0</v>
      </c>
      <c r="O107">
        <v>3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W107">
        <f t="shared" si="1"/>
        <v>0</v>
      </c>
    </row>
    <row r="108" spans="1:23">
      <c r="A108" t="s">
        <v>70</v>
      </c>
      <c r="B108">
        <v>4</v>
      </c>
      <c r="C108">
        <v>0</v>
      </c>
      <c r="D108">
        <v>4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L108" t="s">
        <v>70</v>
      </c>
      <c r="M108">
        <v>4</v>
      </c>
      <c r="N108">
        <v>0</v>
      </c>
      <c r="O108">
        <v>4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W108">
        <f t="shared" si="1"/>
        <v>0</v>
      </c>
    </row>
    <row r="109" spans="1:23">
      <c r="A109" t="s">
        <v>71</v>
      </c>
      <c r="B109">
        <v>5</v>
      </c>
      <c r="C109">
        <v>0</v>
      </c>
      <c r="D109">
        <v>5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L109" t="s">
        <v>71</v>
      </c>
      <c r="M109">
        <v>5</v>
      </c>
      <c r="N109">
        <v>0</v>
      </c>
      <c r="O109">
        <v>5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W109">
        <f t="shared" si="1"/>
        <v>0</v>
      </c>
    </row>
    <row r="110" spans="1:23">
      <c r="A110" t="s">
        <v>72</v>
      </c>
      <c r="B110">
        <v>6</v>
      </c>
      <c r="C110">
        <v>3</v>
      </c>
      <c r="D110">
        <v>1</v>
      </c>
      <c r="E110">
        <v>0</v>
      </c>
      <c r="F110">
        <v>0</v>
      </c>
      <c r="G110">
        <v>2</v>
      </c>
      <c r="H110">
        <v>0</v>
      </c>
      <c r="I110">
        <v>0</v>
      </c>
      <c r="J110">
        <v>0</v>
      </c>
      <c r="L110" t="s">
        <v>72</v>
      </c>
      <c r="M110">
        <v>6</v>
      </c>
      <c r="N110">
        <v>3</v>
      </c>
      <c r="O110">
        <v>1</v>
      </c>
      <c r="P110">
        <v>0</v>
      </c>
      <c r="Q110">
        <v>2</v>
      </c>
      <c r="R110">
        <v>0</v>
      </c>
      <c r="S110">
        <v>0</v>
      </c>
      <c r="T110">
        <v>0</v>
      </c>
      <c r="U110">
        <v>0</v>
      </c>
      <c r="W110">
        <f t="shared" si="1"/>
        <v>0</v>
      </c>
    </row>
    <row r="111" spans="1:23">
      <c r="A111" t="s">
        <v>74</v>
      </c>
      <c r="B111">
        <v>6</v>
      </c>
      <c r="C111">
        <v>2</v>
      </c>
      <c r="D111">
        <v>3</v>
      </c>
      <c r="E111">
        <v>0</v>
      </c>
      <c r="F111">
        <v>0</v>
      </c>
      <c r="G111">
        <v>0</v>
      </c>
      <c r="H111">
        <v>1</v>
      </c>
      <c r="I111">
        <v>0</v>
      </c>
      <c r="J111">
        <v>0</v>
      </c>
      <c r="L111" t="s">
        <v>74</v>
      </c>
      <c r="M111">
        <v>6</v>
      </c>
      <c r="N111">
        <v>2</v>
      </c>
      <c r="O111">
        <v>4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W111">
        <f t="shared" si="1"/>
        <v>0</v>
      </c>
    </row>
    <row r="112" spans="1:23">
      <c r="A112" t="s">
        <v>75</v>
      </c>
      <c r="B112">
        <v>9</v>
      </c>
      <c r="C112">
        <v>3</v>
      </c>
      <c r="D112">
        <v>4</v>
      </c>
      <c r="E112">
        <v>0</v>
      </c>
      <c r="F112">
        <v>0</v>
      </c>
      <c r="G112">
        <v>2</v>
      </c>
      <c r="H112">
        <v>0</v>
      </c>
      <c r="I112">
        <v>0</v>
      </c>
      <c r="J112">
        <v>0</v>
      </c>
      <c r="L112" t="s">
        <v>75</v>
      </c>
      <c r="M112">
        <v>9</v>
      </c>
      <c r="N112">
        <v>3</v>
      </c>
      <c r="O112">
        <v>4</v>
      </c>
      <c r="P112">
        <v>0</v>
      </c>
      <c r="Q112">
        <v>2</v>
      </c>
      <c r="R112">
        <v>0</v>
      </c>
      <c r="S112">
        <v>0</v>
      </c>
      <c r="T112">
        <v>0</v>
      </c>
      <c r="U112">
        <v>0</v>
      </c>
      <c r="W112">
        <f t="shared" si="1"/>
        <v>0</v>
      </c>
    </row>
    <row r="113" spans="1:23">
      <c r="A113" t="s">
        <v>73</v>
      </c>
      <c r="B113">
        <v>4</v>
      </c>
      <c r="C113">
        <v>0</v>
      </c>
      <c r="D113">
        <v>4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L113" t="s">
        <v>73</v>
      </c>
      <c r="M113">
        <v>4</v>
      </c>
      <c r="N113">
        <v>0</v>
      </c>
      <c r="O113">
        <v>4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W113">
        <f t="shared" si="1"/>
        <v>0</v>
      </c>
    </row>
    <row r="114" spans="1:23">
      <c r="A114" t="s">
        <v>78</v>
      </c>
      <c r="B114">
        <v>7</v>
      </c>
      <c r="C114">
        <v>2</v>
      </c>
      <c r="D114">
        <v>1</v>
      </c>
      <c r="E114">
        <v>0</v>
      </c>
      <c r="F114">
        <v>0</v>
      </c>
      <c r="G114">
        <v>2</v>
      </c>
      <c r="H114">
        <v>2</v>
      </c>
      <c r="I114">
        <v>0</v>
      </c>
      <c r="J114">
        <v>0</v>
      </c>
      <c r="L114" t="s">
        <v>78</v>
      </c>
      <c r="M114">
        <v>7</v>
      </c>
      <c r="N114">
        <v>2</v>
      </c>
      <c r="O114">
        <v>3</v>
      </c>
      <c r="P114">
        <v>0</v>
      </c>
      <c r="Q114">
        <v>2</v>
      </c>
      <c r="R114">
        <v>0</v>
      </c>
      <c r="S114">
        <v>0</v>
      </c>
      <c r="T114">
        <v>0</v>
      </c>
      <c r="U114">
        <v>0</v>
      </c>
      <c r="W114">
        <f t="shared" si="1"/>
        <v>0</v>
      </c>
    </row>
    <row r="115" spans="1:23">
      <c r="A115" t="s">
        <v>79</v>
      </c>
      <c r="B115">
        <v>5</v>
      </c>
      <c r="C115">
        <v>1</v>
      </c>
      <c r="D115">
        <v>2</v>
      </c>
      <c r="E115">
        <v>0</v>
      </c>
      <c r="F115">
        <v>0</v>
      </c>
      <c r="G115">
        <v>1</v>
      </c>
      <c r="H115">
        <v>1</v>
      </c>
      <c r="I115">
        <v>0</v>
      </c>
      <c r="J115">
        <v>0</v>
      </c>
      <c r="L115" t="s">
        <v>79</v>
      </c>
      <c r="M115">
        <v>5</v>
      </c>
      <c r="N115">
        <v>1</v>
      </c>
      <c r="O115">
        <v>3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0</v>
      </c>
      <c r="W115">
        <f t="shared" si="1"/>
        <v>0</v>
      </c>
    </row>
    <row r="116" spans="1:23">
      <c r="A116" t="s">
        <v>80</v>
      </c>
      <c r="B116">
        <v>4</v>
      </c>
      <c r="C116">
        <v>1</v>
      </c>
      <c r="D116">
        <v>3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L116" t="s">
        <v>80</v>
      </c>
      <c r="M116">
        <v>4</v>
      </c>
      <c r="N116">
        <v>1</v>
      </c>
      <c r="O116">
        <v>3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W116">
        <f t="shared" si="1"/>
        <v>0</v>
      </c>
    </row>
    <row r="117" spans="1:23">
      <c r="A117" t="s">
        <v>81</v>
      </c>
      <c r="B117">
        <v>6</v>
      </c>
      <c r="C117">
        <v>2</v>
      </c>
      <c r="D117">
        <v>2</v>
      </c>
      <c r="E117">
        <v>0</v>
      </c>
      <c r="F117">
        <v>0</v>
      </c>
      <c r="G117">
        <v>2</v>
      </c>
      <c r="H117">
        <v>0</v>
      </c>
      <c r="I117">
        <v>0</v>
      </c>
      <c r="J117">
        <v>0</v>
      </c>
      <c r="L117" t="s">
        <v>81</v>
      </c>
      <c r="M117">
        <v>6</v>
      </c>
      <c r="N117">
        <v>2</v>
      </c>
      <c r="O117">
        <v>2</v>
      </c>
      <c r="P117">
        <v>0</v>
      </c>
      <c r="Q117">
        <v>2</v>
      </c>
      <c r="R117">
        <v>0</v>
      </c>
      <c r="S117">
        <v>0</v>
      </c>
      <c r="T117">
        <v>0</v>
      </c>
      <c r="U117">
        <v>0</v>
      </c>
      <c r="W117">
        <f t="shared" si="1"/>
        <v>0</v>
      </c>
    </row>
    <row r="118" spans="1:23">
      <c r="A118" t="s">
        <v>76</v>
      </c>
      <c r="B118">
        <v>3</v>
      </c>
      <c r="C118">
        <v>1</v>
      </c>
      <c r="D118">
        <v>2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L118" t="s">
        <v>76</v>
      </c>
      <c r="M118">
        <v>3</v>
      </c>
      <c r="N118">
        <v>1</v>
      </c>
      <c r="O118">
        <v>2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W118">
        <f t="shared" si="1"/>
        <v>0</v>
      </c>
    </row>
    <row r="119" spans="1:23">
      <c r="A119" t="s">
        <v>77</v>
      </c>
      <c r="B119">
        <v>7</v>
      </c>
      <c r="C119">
        <v>1</v>
      </c>
      <c r="D119">
        <v>4</v>
      </c>
      <c r="E119">
        <v>0</v>
      </c>
      <c r="F119">
        <v>0</v>
      </c>
      <c r="G119">
        <v>1</v>
      </c>
      <c r="H119">
        <v>1</v>
      </c>
      <c r="I119">
        <v>0</v>
      </c>
      <c r="J119">
        <v>0</v>
      </c>
      <c r="L119" t="s">
        <v>77</v>
      </c>
      <c r="M119">
        <v>7</v>
      </c>
      <c r="N119">
        <v>1</v>
      </c>
      <c r="O119">
        <v>5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0</v>
      </c>
      <c r="W119">
        <f t="shared" si="1"/>
        <v>0</v>
      </c>
    </row>
    <row r="120" spans="1:23">
      <c r="A120" t="s">
        <v>82</v>
      </c>
      <c r="B120">
        <v>4</v>
      </c>
      <c r="C120">
        <v>1</v>
      </c>
      <c r="D120">
        <v>3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L120" t="s">
        <v>82</v>
      </c>
      <c r="M120">
        <v>4</v>
      </c>
      <c r="N120">
        <v>1</v>
      </c>
      <c r="O120">
        <v>3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W120">
        <f t="shared" si="1"/>
        <v>0</v>
      </c>
    </row>
    <row r="121" spans="1:23">
      <c r="A121" t="s">
        <v>83</v>
      </c>
      <c r="B121">
        <v>7</v>
      </c>
      <c r="C121">
        <v>2</v>
      </c>
      <c r="D121">
        <v>3</v>
      </c>
      <c r="E121">
        <v>0</v>
      </c>
      <c r="F121">
        <v>0</v>
      </c>
      <c r="G121">
        <v>2</v>
      </c>
      <c r="H121">
        <v>0</v>
      </c>
      <c r="I121">
        <v>0</v>
      </c>
      <c r="J121">
        <v>0</v>
      </c>
      <c r="L121" t="s">
        <v>83</v>
      </c>
      <c r="M121">
        <v>7</v>
      </c>
      <c r="N121">
        <v>2</v>
      </c>
      <c r="O121">
        <v>3</v>
      </c>
      <c r="P121">
        <v>0</v>
      </c>
      <c r="Q121">
        <v>2</v>
      </c>
      <c r="R121">
        <v>0</v>
      </c>
      <c r="S121">
        <v>0</v>
      </c>
      <c r="T121">
        <v>0</v>
      </c>
      <c r="U121">
        <v>0</v>
      </c>
      <c r="W121">
        <f t="shared" si="1"/>
        <v>0</v>
      </c>
    </row>
    <row r="122" spans="1:23">
      <c r="A122" t="s">
        <v>273</v>
      </c>
      <c r="B122">
        <v>1</v>
      </c>
      <c r="C122">
        <v>0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L122" t="s">
        <v>273</v>
      </c>
      <c r="M122">
        <v>1</v>
      </c>
      <c r="N122">
        <v>0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W122">
        <f t="shared" si="1"/>
        <v>0</v>
      </c>
    </row>
    <row r="123" spans="1:23">
      <c r="A123" t="s">
        <v>274</v>
      </c>
      <c r="B123">
        <v>27</v>
      </c>
      <c r="C123">
        <v>4</v>
      </c>
      <c r="D123">
        <v>20</v>
      </c>
      <c r="E123">
        <v>1</v>
      </c>
      <c r="F123">
        <v>2</v>
      </c>
      <c r="G123">
        <v>0</v>
      </c>
      <c r="H123">
        <v>0</v>
      </c>
      <c r="I123">
        <v>0</v>
      </c>
      <c r="J123">
        <v>0</v>
      </c>
      <c r="L123" t="s">
        <v>274</v>
      </c>
      <c r="M123">
        <v>27</v>
      </c>
      <c r="N123">
        <v>4</v>
      </c>
      <c r="O123">
        <v>20</v>
      </c>
      <c r="P123">
        <v>1</v>
      </c>
      <c r="Q123">
        <v>2</v>
      </c>
      <c r="R123">
        <v>0</v>
      </c>
      <c r="S123">
        <v>0</v>
      </c>
      <c r="T123">
        <v>0</v>
      </c>
      <c r="U123">
        <v>0</v>
      </c>
      <c r="W123">
        <f t="shared" si="1"/>
        <v>0</v>
      </c>
    </row>
    <row r="124" spans="1:23">
      <c r="A124" t="s">
        <v>275</v>
      </c>
      <c r="B124">
        <v>29</v>
      </c>
      <c r="C124">
        <v>5</v>
      </c>
      <c r="D124">
        <v>20</v>
      </c>
      <c r="E124">
        <v>1</v>
      </c>
      <c r="F124">
        <v>2</v>
      </c>
      <c r="G124">
        <v>1</v>
      </c>
      <c r="H124">
        <v>0</v>
      </c>
      <c r="I124">
        <v>0</v>
      </c>
      <c r="J124">
        <v>0</v>
      </c>
      <c r="L124" t="s">
        <v>275</v>
      </c>
      <c r="M124">
        <v>29</v>
      </c>
      <c r="N124">
        <v>5</v>
      </c>
      <c r="O124">
        <v>20</v>
      </c>
      <c r="P124">
        <v>1</v>
      </c>
      <c r="Q124">
        <v>3</v>
      </c>
      <c r="R124">
        <v>0</v>
      </c>
      <c r="S124">
        <v>0</v>
      </c>
      <c r="T124">
        <v>0</v>
      </c>
      <c r="U124">
        <v>0</v>
      </c>
      <c r="W124">
        <f t="shared" si="1"/>
        <v>0</v>
      </c>
    </row>
    <row r="125" spans="1:23">
      <c r="A125" t="s">
        <v>276</v>
      </c>
      <c r="B125">
        <v>18</v>
      </c>
      <c r="C125">
        <v>7</v>
      </c>
      <c r="D125">
        <v>8</v>
      </c>
      <c r="E125">
        <v>0</v>
      </c>
      <c r="F125">
        <v>0</v>
      </c>
      <c r="G125">
        <v>3</v>
      </c>
      <c r="H125">
        <v>0</v>
      </c>
      <c r="I125">
        <v>0</v>
      </c>
      <c r="J125">
        <v>0</v>
      </c>
      <c r="L125" t="s">
        <v>276</v>
      </c>
      <c r="M125">
        <v>18</v>
      </c>
      <c r="N125">
        <v>7</v>
      </c>
      <c r="O125">
        <v>8</v>
      </c>
      <c r="P125">
        <v>0</v>
      </c>
      <c r="Q125">
        <v>3</v>
      </c>
      <c r="R125">
        <v>0</v>
      </c>
      <c r="S125">
        <v>0</v>
      </c>
      <c r="T125">
        <v>0</v>
      </c>
      <c r="U125">
        <v>0</v>
      </c>
      <c r="W125">
        <f t="shared" si="1"/>
        <v>0</v>
      </c>
    </row>
    <row r="126" spans="1:23">
      <c r="A126" t="s">
        <v>277</v>
      </c>
      <c r="B126">
        <v>20</v>
      </c>
      <c r="C126">
        <v>8</v>
      </c>
      <c r="D126">
        <v>8</v>
      </c>
      <c r="E126">
        <v>0</v>
      </c>
      <c r="F126">
        <v>0</v>
      </c>
      <c r="G126">
        <v>4</v>
      </c>
      <c r="H126">
        <v>0</v>
      </c>
      <c r="I126">
        <v>0</v>
      </c>
      <c r="J126">
        <v>0</v>
      </c>
      <c r="L126" t="s">
        <v>277</v>
      </c>
      <c r="M126">
        <v>20</v>
      </c>
      <c r="N126">
        <v>8</v>
      </c>
      <c r="O126">
        <v>8</v>
      </c>
      <c r="P126">
        <v>0</v>
      </c>
      <c r="Q126">
        <v>4</v>
      </c>
      <c r="R126">
        <v>0</v>
      </c>
      <c r="S126">
        <v>0</v>
      </c>
      <c r="T126">
        <v>0</v>
      </c>
      <c r="U126">
        <v>0</v>
      </c>
      <c r="W126">
        <f t="shared" si="1"/>
        <v>0</v>
      </c>
    </row>
    <row r="127" spans="1:23">
      <c r="A127" t="s">
        <v>278</v>
      </c>
      <c r="B127">
        <v>19</v>
      </c>
      <c r="C127">
        <v>7</v>
      </c>
      <c r="D127">
        <v>8</v>
      </c>
      <c r="E127">
        <v>0</v>
      </c>
      <c r="F127">
        <v>0</v>
      </c>
      <c r="G127">
        <v>4</v>
      </c>
      <c r="H127">
        <v>0</v>
      </c>
      <c r="I127">
        <v>0</v>
      </c>
      <c r="J127">
        <v>0</v>
      </c>
      <c r="L127" t="s">
        <v>278</v>
      </c>
      <c r="M127">
        <v>19</v>
      </c>
      <c r="N127">
        <v>7</v>
      </c>
      <c r="O127">
        <v>8</v>
      </c>
      <c r="P127">
        <v>0</v>
      </c>
      <c r="Q127">
        <v>4</v>
      </c>
      <c r="R127">
        <v>0</v>
      </c>
      <c r="S127">
        <v>0</v>
      </c>
      <c r="T127">
        <v>0</v>
      </c>
      <c r="U127">
        <v>0</v>
      </c>
      <c r="W127">
        <f t="shared" si="1"/>
        <v>0</v>
      </c>
    </row>
    <row r="128" spans="1:23">
      <c r="A128" t="s">
        <v>279</v>
      </c>
      <c r="B128">
        <v>2</v>
      </c>
      <c r="C128">
        <v>0</v>
      </c>
      <c r="D128">
        <v>2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L128" t="s">
        <v>279</v>
      </c>
      <c r="M128">
        <v>2</v>
      </c>
      <c r="N128">
        <v>0</v>
      </c>
      <c r="O128">
        <v>2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W128">
        <f t="shared" si="1"/>
        <v>0</v>
      </c>
    </row>
    <row r="129" spans="1:23">
      <c r="A129" t="s">
        <v>92</v>
      </c>
      <c r="B129">
        <v>3</v>
      </c>
      <c r="C129">
        <v>0</v>
      </c>
      <c r="D129">
        <v>3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L129" t="s">
        <v>92</v>
      </c>
      <c r="M129">
        <v>3</v>
      </c>
      <c r="N129">
        <v>0</v>
      </c>
      <c r="O129">
        <v>3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W129">
        <f t="shared" si="1"/>
        <v>0</v>
      </c>
    </row>
    <row r="130" spans="1:23">
      <c r="A130" t="s">
        <v>93</v>
      </c>
      <c r="B130">
        <v>4</v>
      </c>
      <c r="C130">
        <v>1</v>
      </c>
      <c r="D130">
        <v>2</v>
      </c>
      <c r="E130">
        <v>0</v>
      </c>
      <c r="F130">
        <v>1</v>
      </c>
      <c r="G130">
        <v>0</v>
      </c>
      <c r="H130">
        <v>0</v>
      </c>
      <c r="I130">
        <v>0</v>
      </c>
      <c r="J130">
        <v>0</v>
      </c>
      <c r="L130" t="s">
        <v>93</v>
      </c>
      <c r="M130">
        <v>4</v>
      </c>
      <c r="N130">
        <v>1</v>
      </c>
      <c r="O130">
        <v>2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0</v>
      </c>
      <c r="W130">
        <f t="shared" si="1"/>
        <v>0</v>
      </c>
    </row>
    <row r="131" spans="1:23">
      <c r="A131" t="s">
        <v>280</v>
      </c>
      <c r="B131">
        <v>10</v>
      </c>
      <c r="C131">
        <v>4</v>
      </c>
      <c r="D131">
        <v>6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L131" t="s">
        <v>280</v>
      </c>
      <c r="M131">
        <v>10</v>
      </c>
      <c r="N131">
        <v>4</v>
      </c>
      <c r="O131">
        <v>6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W131">
        <f t="shared" ref="W131:W177" si="2">B131-M131</f>
        <v>0</v>
      </c>
    </row>
    <row r="132" spans="1:23">
      <c r="A132" t="s">
        <v>281</v>
      </c>
      <c r="B132">
        <v>10</v>
      </c>
      <c r="C132">
        <v>4</v>
      </c>
      <c r="D132">
        <v>6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L132" t="s">
        <v>281</v>
      </c>
      <c r="M132">
        <v>10</v>
      </c>
      <c r="N132">
        <v>4</v>
      </c>
      <c r="O132">
        <v>6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W132">
        <f t="shared" si="2"/>
        <v>0</v>
      </c>
    </row>
    <row r="133" spans="1:23">
      <c r="A133" t="s">
        <v>282</v>
      </c>
      <c r="B133">
        <v>5</v>
      </c>
      <c r="C133">
        <v>2</v>
      </c>
      <c r="D133">
        <v>3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L133" t="s">
        <v>282</v>
      </c>
      <c r="M133">
        <v>5</v>
      </c>
      <c r="N133">
        <v>2</v>
      </c>
      <c r="O133">
        <v>3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W133">
        <f t="shared" si="2"/>
        <v>0</v>
      </c>
    </row>
    <row r="134" spans="1:23">
      <c r="A134" t="s">
        <v>283</v>
      </c>
      <c r="B134">
        <v>10</v>
      </c>
      <c r="C134">
        <v>3</v>
      </c>
      <c r="D134">
        <v>5</v>
      </c>
      <c r="E134">
        <v>0</v>
      </c>
      <c r="F134">
        <v>2</v>
      </c>
      <c r="G134">
        <v>0</v>
      </c>
      <c r="H134">
        <v>0</v>
      </c>
      <c r="I134">
        <v>0</v>
      </c>
      <c r="J134">
        <v>0</v>
      </c>
      <c r="L134" t="s">
        <v>283</v>
      </c>
      <c r="M134">
        <v>10</v>
      </c>
      <c r="N134">
        <v>3</v>
      </c>
      <c r="O134">
        <v>5</v>
      </c>
      <c r="P134">
        <v>0</v>
      </c>
      <c r="Q134">
        <v>2</v>
      </c>
      <c r="R134">
        <v>0</v>
      </c>
      <c r="S134">
        <v>0</v>
      </c>
      <c r="T134">
        <v>0</v>
      </c>
      <c r="U134">
        <v>0</v>
      </c>
      <c r="W134">
        <f t="shared" si="2"/>
        <v>0</v>
      </c>
    </row>
    <row r="135" spans="1:23">
      <c r="A135" t="s">
        <v>284</v>
      </c>
      <c r="B135">
        <v>10</v>
      </c>
      <c r="C135">
        <v>2</v>
      </c>
      <c r="D135">
        <v>6</v>
      </c>
      <c r="E135">
        <v>0</v>
      </c>
      <c r="F135">
        <v>2</v>
      </c>
      <c r="G135">
        <v>0</v>
      </c>
      <c r="H135">
        <v>0</v>
      </c>
      <c r="I135">
        <v>0</v>
      </c>
      <c r="J135">
        <v>0</v>
      </c>
      <c r="L135" t="s">
        <v>284</v>
      </c>
      <c r="M135">
        <v>10</v>
      </c>
      <c r="N135">
        <v>2</v>
      </c>
      <c r="O135">
        <v>6</v>
      </c>
      <c r="P135">
        <v>0</v>
      </c>
      <c r="Q135">
        <v>2</v>
      </c>
      <c r="R135">
        <v>0</v>
      </c>
      <c r="S135">
        <v>0</v>
      </c>
      <c r="T135">
        <v>0</v>
      </c>
      <c r="U135">
        <v>0</v>
      </c>
      <c r="W135">
        <f t="shared" si="2"/>
        <v>0</v>
      </c>
    </row>
    <row r="136" spans="1:23">
      <c r="A136" t="s">
        <v>285</v>
      </c>
      <c r="B136">
        <v>5</v>
      </c>
      <c r="C136">
        <v>2</v>
      </c>
      <c r="D136">
        <v>2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</v>
      </c>
      <c r="L136" t="s">
        <v>285</v>
      </c>
      <c r="M136">
        <v>5</v>
      </c>
      <c r="N136">
        <v>2</v>
      </c>
      <c r="O136">
        <v>2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0</v>
      </c>
      <c r="W136">
        <f t="shared" si="2"/>
        <v>0</v>
      </c>
    </row>
    <row r="137" spans="1:23">
      <c r="A137" t="s">
        <v>286</v>
      </c>
      <c r="B137">
        <v>9</v>
      </c>
      <c r="C137">
        <v>3</v>
      </c>
      <c r="D137">
        <v>4</v>
      </c>
      <c r="E137">
        <v>0</v>
      </c>
      <c r="F137">
        <v>2</v>
      </c>
      <c r="G137">
        <v>0</v>
      </c>
      <c r="H137">
        <v>0</v>
      </c>
      <c r="I137">
        <v>0</v>
      </c>
      <c r="J137">
        <v>0</v>
      </c>
      <c r="L137" t="s">
        <v>286</v>
      </c>
      <c r="M137">
        <v>9</v>
      </c>
      <c r="N137">
        <v>3</v>
      </c>
      <c r="O137">
        <v>4</v>
      </c>
      <c r="P137">
        <v>0</v>
      </c>
      <c r="Q137">
        <v>2</v>
      </c>
      <c r="R137">
        <v>0</v>
      </c>
      <c r="S137">
        <v>0</v>
      </c>
      <c r="T137">
        <v>0</v>
      </c>
      <c r="U137">
        <v>0</v>
      </c>
      <c r="W137">
        <f t="shared" si="2"/>
        <v>0</v>
      </c>
    </row>
    <row r="138" spans="1:23">
      <c r="A138" t="s">
        <v>287</v>
      </c>
      <c r="B138">
        <v>8</v>
      </c>
      <c r="C138">
        <v>6</v>
      </c>
      <c r="D138">
        <v>0</v>
      </c>
      <c r="E138">
        <v>0</v>
      </c>
      <c r="F138">
        <v>1</v>
      </c>
      <c r="G138">
        <v>0</v>
      </c>
      <c r="H138">
        <v>0</v>
      </c>
      <c r="I138">
        <v>1</v>
      </c>
      <c r="J138">
        <v>0</v>
      </c>
      <c r="L138" t="s">
        <v>287</v>
      </c>
      <c r="M138">
        <v>8</v>
      </c>
      <c r="N138">
        <v>6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1</v>
      </c>
      <c r="U138">
        <v>0</v>
      </c>
      <c r="W138">
        <f t="shared" si="2"/>
        <v>0</v>
      </c>
    </row>
    <row r="139" spans="1:23">
      <c r="A139" t="s">
        <v>288</v>
      </c>
      <c r="B139">
        <v>12</v>
      </c>
      <c r="C139">
        <v>8</v>
      </c>
      <c r="D139">
        <v>1</v>
      </c>
      <c r="E139">
        <v>0</v>
      </c>
      <c r="F139">
        <v>0</v>
      </c>
      <c r="G139">
        <v>3</v>
      </c>
      <c r="H139">
        <v>0</v>
      </c>
      <c r="I139">
        <v>0</v>
      </c>
      <c r="J139">
        <v>0</v>
      </c>
      <c r="L139" t="s">
        <v>288</v>
      </c>
      <c r="M139">
        <v>12</v>
      </c>
      <c r="N139">
        <v>8</v>
      </c>
      <c r="O139">
        <v>1</v>
      </c>
      <c r="P139">
        <v>0</v>
      </c>
      <c r="Q139">
        <v>3</v>
      </c>
      <c r="R139">
        <v>0</v>
      </c>
      <c r="S139">
        <v>0</v>
      </c>
      <c r="T139">
        <v>0</v>
      </c>
      <c r="U139">
        <v>0</v>
      </c>
      <c r="W139">
        <f t="shared" si="2"/>
        <v>0</v>
      </c>
    </row>
    <row r="140" spans="1:23">
      <c r="A140" t="s">
        <v>289</v>
      </c>
      <c r="B140">
        <v>14</v>
      </c>
      <c r="C140">
        <v>9</v>
      </c>
      <c r="D140">
        <v>1</v>
      </c>
      <c r="E140">
        <v>0</v>
      </c>
      <c r="F140">
        <v>0</v>
      </c>
      <c r="G140">
        <v>4</v>
      </c>
      <c r="H140">
        <v>0</v>
      </c>
      <c r="I140">
        <v>0</v>
      </c>
      <c r="J140">
        <v>0</v>
      </c>
      <c r="L140" t="s">
        <v>289</v>
      </c>
      <c r="M140">
        <v>14</v>
      </c>
      <c r="N140">
        <v>9</v>
      </c>
      <c r="O140">
        <v>1</v>
      </c>
      <c r="P140">
        <v>0</v>
      </c>
      <c r="Q140">
        <v>4</v>
      </c>
      <c r="R140">
        <v>0</v>
      </c>
      <c r="S140">
        <v>0</v>
      </c>
      <c r="T140">
        <v>0</v>
      </c>
      <c r="U140">
        <v>0</v>
      </c>
      <c r="W140">
        <f t="shared" si="2"/>
        <v>0</v>
      </c>
    </row>
    <row r="141" spans="1:23">
      <c r="A141" t="s">
        <v>290</v>
      </c>
      <c r="B141">
        <v>18</v>
      </c>
      <c r="C141">
        <v>6</v>
      </c>
      <c r="D141">
        <v>12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L141" t="s">
        <v>290</v>
      </c>
      <c r="M141">
        <v>18</v>
      </c>
      <c r="N141">
        <v>6</v>
      </c>
      <c r="O141">
        <v>12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W141">
        <f t="shared" si="2"/>
        <v>0</v>
      </c>
    </row>
    <row r="142" spans="1:23">
      <c r="A142" t="s">
        <v>291</v>
      </c>
      <c r="B142">
        <v>20</v>
      </c>
      <c r="C142">
        <v>13</v>
      </c>
      <c r="D142">
        <v>5</v>
      </c>
      <c r="E142">
        <v>0</v>
      </c>
      <c r="F142">
        <v>1</v>
      </c>
      <c r="G142">
        <v>1</v>
      </c>
      <c r="H142">
        <v>0</v>
      </c>
      <c r="I142">
        <v>0</v>
      </c>
      <c r="J142">
        <v>0</v>
      </c>
      <c r="L142" t="s">
        <v>291</v>
      </c>
      <c r="M142">
        <v>20</v>
      </c>
      <c r="N142">
        <v>13</v>
      </c>
      <c r="O142">
        <v>5</v>
      </c>
      <c r="P142">
        <v>0</v>
      </c>
      <c r="Q142">
        <v>2</v>
      </c>
      <c r="R142">
        <v>0</v>
      </c>
      <c r="S142">
        <v>0</v>
      </c>
      <c r="T142">
        <v>0</v>
      </c>
      <c r="U142">
        <v>0</v>
      </c>
      <c r="W142">
        <f t="shared" si="2"/>
        <v>0</v>
      </c>
    </row>
    <row r="143" spans="1:23">
      <c r="A143" t="s">
        <v>292</v>
      </c>
      <c r="B143">
        <v>231</v>
      </c>
      <c r="C143">
        <v>54</v>
      </c>
      <c r="D143">
        <v>110</v>
      </c>
      <c r="E143">
        <v>39</v>
      </c>
      <c r="F143">
        <v>16</v>
      </c>
      <c r="G143">
        <v>12</v>
      </c>
      <c r="H143">
        <v>0</v>
      </c>
      <c r="I143">
        <v>0</v>
      </c>
      <c r="J143">
        <v>0</v>
      </c>
      <c r="L143" t="s">
        <v>292</v>
      </c>
      <c r="M143">
        <v>231</v>
      </c>
      <c r="N143">
        <v>54</v>
      </c>
      <c r="O143">
        <v>110</v>
      </c>
      <c r="P143">
        <v>39</v>
      </c>
      <c r="Q143">
        <v>28</v>
      </c>
      <c r="R143">
        <v>0</v>
      </c>
      <c r="S143">
        <v>0</v>
      </c>
      <c r="T143">
        <v>0</v>
      </c>
      <c r="U143">
        <v>0</v>
      </c>
      <c r="W143">
        <f t="shared" si="2"/>
        <v>0</v>
      </c>
    </row>
    <row r="144" spans="1:23">
      <c r="A144" t="s">
        <v>293</v>
      </c>
      <c r="B144">
        <v>233</v>
      </c>
      <c r="C144">
        <v>55</v>
      </c>
      <c r="D144">
        <v>110</v>
      </c>
      <c r="E144">
        <v>39</v>
      </c>
      <c r="F144">
        <v>16</v>
      </c>
      <c r="G144">
        <v>13</v>
      </c>
      <c r="H144">
        <v>0</v>
      </c>
      <c r="I144">
        <v>0</v>
      </c>
      <c r="J144">
        <v>0</v>
      </c>
      <c r="L144" t="s">
        <v>293</v>
      </c>
      <c r="M144">
        <v>233</v>
      </c>
      <c r="N144">
        <v>55</v>
      </c>
      <c r="O144">
        <v>110</v>
      </c>
      <c r="P144">
        <v>39</v>
      </c>
      <c r="Q144">
        <v>29</v>
      </c>
      <c r="R144">
        <v>0</v>
      </c>
      <c r="S144">
        <v>0</v>
      </c>
      <c r="T144">
        <v>0</v>
      </c>
      <c r="U144">
        <v>0</v>
      </c>
      <c r="W144">
        <f t="shared" si="2"/>
        <v>0</v>
      </c>
    </row>
    <row r="145" spans="1:23">
      <c r="A145" t="s">
        <v>294</v>
      </c>
      <c r="B145">
        <v>14</v>
      </c>
      <c r="C145">
        <v>6</v>
      </c>
      <c r="D145">
        <v>6</v>
      </c>
      <c r="E145">
        <v>0</v>
      </c>
      <c r="F145">
        <v>1</v>
      </c>
      <c r="G145">
        <v>1</v>
      </c>
      <c r="H145">
        <v>0</v>
      </c>
      <c r="I145">
        <v>0</v>
      </c>
      <c r="J145">
        <v>0</v>
      </c>
      <c r="L145" t="s">
        <v>294</v>
      </c>
      <c r="M145">
        <v>14</v>
      </c>
      <c r="N145">
        <v>6</v>
      </c>
      <c r="O145">
        <v>6</v>
      </c>
      <c r="P145">
        <v>0</v>
      </c>
      <c r="Q145">
        <v>2</v>
      </c>
      <c r="R145">
        <v>0</v>
      </c>
      <c r="S145">
        <v>0</v>
      </c>
      <c r="T145">
        <v>0</v>
      </c>
      <c r="U145">
        <v>0</v>
      </c>
      <c r="W145">
        <f t="shared" si="2"/>
        <v>0</v>
      </c>
    </row>
    <row r="146" spans="1:23">
      <c r="A146" t="s">
        <v>295</v>
      </c>
      <c r="B146">
        <v>16</v>
      </c>
      <c r="C146">
        <v>7</v>
      </c>
      <c r="D146">
        <v>6</v>
      </c>
      <c r="E146">
        <v>0</v>
      </c>
      <c r="F146">
        <v>1</v>
      </c>
      <c r="G146">
        <v>2</v>
      </c>
      <c r="H146">
        <v>0</v>
      </c>
      <c r="I146">
        <v>0</v>
      </c>
      <c r="J146">
        <v>0</v>
      </c>
      <c r="L146" t="s">
        <v>295</v>
      </c>
      <c r="M146">
        <v>16</v>
      </c>
      <c r="N146">
        <v>7</v>
      </c>
      <c r="O146">
        <v>6</v>
      </c>
      <c r="P146">
        <v>0</v>
      </c>
      <c r="Q146">
        <v>3</v>
      </c>
      <c r="R146">
        <v>0</v>
      </c>
      <c r="S146">
        <v>0</v>
      </c>
      <c r="T146">
        <v>0</v>
      </c>
      <c r="U146">
        <v>0</v>
      </c>
      <c r="W146">
        <f t="shared" si="2"/>
        <v>0</v>
      </c>
    </row>
    <row r="147" spans="1:23">
      <c r="A147" t="s">
        <v>296</v>
      </c>
      <c r="B147">
        <v>41</v>
      </c>
      <c r="C147">
        <v>9</v>
      </c>
      <c r="D147">
        <v>25</v>
      </c>
      <c r="E147">
        <v>3</v>
      </c>
      <c r="F147">
        <v>2</v>
      </c>
      <c r="G147">
        <v>2</v>
      </c>
      <c r="H147">
        <v>0</v>
      </c>
      <c r="I147">
        <v>0</v>
      </c>
      <c r="J147">
        <v>0</v>
      </c>
      <c r="L147" t="s">
        <v>296</v>
      </c>
      <c r="M147">
        <v>41</v>
      </c>
      <c r="N147">
        <v>9</v>
      </c>
      <c r="O147">
        <v>25</v>
      </c>
      <c r="P147">
        <v>3</v>
      </c>
      <c r="Q147">
        <v>4</v>
      </c>
      <c r="R147">
        <v>0</v>
      </c>
      <c r="S147">
        <v>0</v>
      </c>
      <c r="T147">
        <v>0</v>
      </c>
      <c r="U147">
        <v>0</v>
      </c>
      <c r="W147">
        <f t="shared" si="2"/>
        <v>0</v>
      </c>
    </row>
    <row r="148" spans="1:23">
      <c r="A148" t="s">
        <v>297</v>
      </c>
      <c r="B148">
        <v>43</v>
      </c>
      <c r="C148">
        <v>10</v>
      </c>
      <c r="D148">
        <v>25</v>
      </c>
      <c r="E148">
        <v>3</v>
      </c>
      <c r="F148">
        <v>2</v>
      </c>
      <c r="G148">
        <v>3</v>
      </c>
      <c r="H148">
        <v>0</v>
      </c>
      <c r="I148">
        <v>0</v>
      </c>
      <c r="J148">
        <v>0</v>
      </c>
      <c r="L148" t="s">
        <v>297</v>
      </c>
      <c r="M148">
        <v>43</v>
      </c>
      <c r="N148">
        <v>10</v>
      </c>
      <c r="O148">
        <v>25</v>
      </c>
      <c r="P148">
        <v>3</v>
      </c>
      <c r="Q148">
        <v>5</v>
      </c>
      <c r="R148">
        <v>0</v>
      </c>
      <c r="S148">
        <v>0</v>
      </c>
      <c r="T148">
        <v>0</v>
      </c>
      <c r="U148">
        <v>0</v>
      </c>
      <c r="W148">
        <f t="shared" si="2"/>
        <v>0</v>
      </c>
    </row>
    <row r="149" spans="1:23">
      <c r="A149" t="s">
        <v>298</v>
      </c>
      <c r="B149">
        <v>12</v>
      </c>
      <c r="C149">
        <v>10</v>
      </c>
      <c r="D149">
        <v>1</v>
      </c>
      <c r="E149">
        <v>0</v>
      </c>
      <c r="F149">
        <v>1</v>
      </c>
      <c r="G149">
        <v>0</v>
      </c>
      <c r="H149">
        <v>0</v>
      </c>
      <c r="I149">
        <v>0</v>
      </c>
      <c r="J149">
        <v>0</v>
      </c>
      <c r="L149" t="s">
        <v>298</v>
      </c>
      <c r="M149">
        <v>12</v>
      </c>
      <c r="N149">
        <v>6</v>
      </c>
      <c r="O149">
        <v>3</v>
      </c>
      <c r="P149">
        <v>0</v>
      </c>
      <c r="Q149">
        <v>3</v>
      </c>
      <c r="R149">
        <v>0</v>
      </c>
      <c r="S149">
        <v>0</v>
      </c>
      <c r="T149">
        <v>0</v>
      </c>
      <c r="U149">
        <v>0</v>
      </c>
      <c r="W149">
        <f t="shared" si="2"/>
        <v>0</v>
      </c>
    </row>
    <row r="150" spans="1:23">
      <c r="A150" t="s">
        <v>299</v>
      </c>
      <c r="B150">
        <v>14</v>
      </c>
      <c r="C150">
        <v>11</v>
      </c>
      <c r="D150">
        <v>1</v>
      </c>
      <c r="E150">
        <v>0</v>
      </c>
      <c r="F150">
        <v>1</v>
      </c>
      <c r="G150">
        <v>1</v>
      </c>
      <c r="H150">
        <v>0</v>
      </c>
      <c r="I150">
        <v>0</v>
      </c>
      <c r="J150">
        <v>0</v>
      </c>
      <c r="L150" t="s">
        <v>299</v>
      </c>
      <c r="M150">
        <v>14</v>
      </c>
      <c r="N150">
        <v>11</v>
      </c>
      <c r="O150">
        <v>1</v>
      </c>
      <c r="P150">
        <v>0</v>
      </c>
      <c r="Q150">
        <v>2</v>
      </c>
      <c r="R150">
        <v>0</v>
      </c>
      <c r="S150">
        <v>0</v>
      </c>
      <c r="T150">
        <v>0</v>
      </c>
      <c r="U150">
        <v>0</v>
      </c>
      <c r="W150">
        <f t="shared" si="2"/>
        <v>0</v>
      </c>
    </row>
    <row r="151" spans="1:23">
      <c r="A151" t="s">
        <v>300</v>
      </c>
      <c r="B151">
        <v>18</v>
      </c>
      <c r="C151">
        <v>12</v>
      </c>
      <c r="D151">
        <v>5</v>
      </c>
      <c r="E151">
        <v>0</v>
      </c>
      <c r="F151">
        <v>1</v>
      </c>
      <c r="G151">
        <v>0</v>
      </c>
      <c r="H151">
        <v>0</v>
      </c>
      <c r="I151">
        <v>0</v>
      </c>
      <c r="J151">
        <v>0</v>
      </c>
      <c r="L151" t="s">
        <v>300</v>
      </c>
      <c r="M151">
        <v>18</v>
      </c>
      <c r="N151">
        <v>12</v>
      </c>
      <c r="O151">
        <v>5</v>
      </c>
      <c r="P151">
        <v>0</v>
      </c>
      <c r="Q151">
        <v>1</v>
      </c>
      <c r="R151">
        <v>0</v>
      </c>
      <c r="S151">
        <v>0</v>
      </c>
      <c r="T151">
        <v>0</v>
      </c>
      <c r="U151">
        <v>0</v>
      </c>
      <c r="W151">
        <f t="shared" si="2"/>
        <v>0</v>
      </c>
    </row>
    <row r="152" spans="1:23">
      <c r="A152" t="s">
        <v>301</v>
      </c>
      <c r="B152">
        <v>19</v>
      </c>
      <c r="C152">
        <v>0</v>
      </c>
      <c r="D152">
        <v>18</v>
      </c>
      <c r="E152">
        <v>0</v>
      </c>
      <c r="F152">
        <v>1</v>
      </c>
      <c r="G152">
        <v>0</v>
      </c>
      <c r="H152">
        <v>0</v>
      </c>
      <c r="I152">
        <v>0</v>
      </c>
      <c r="J152">
        <v>0</v>
      </c>
      <c r="L152" t="s">
        <v>301</v>
      </c>
      <c r="M152">
        <v>19</v>
      </c>
      <c r="N152">
        <v>0</v>
      </c>
      <c r="O152">
        <v>18</v>
      </c>
      <c r="P152">
        <v>0</v>
      </c>
      <c r="Q152">
        <v>1</v>
      </c>
      <c r="R152">
        <v>0</v>
      </c>
      <c r="S152">
        <v>0</v>
      </c>
      <c r="T152">
        <v>0</v>
      </c>
      <c r="U152">
        <v>0</v>
      </c>
      <c r="W152">
        <f t="shared" si="2"/>
        <v>0</v>
      </c>
    </row>
    <row r="153" spans="1:23">
      <c r="A153" t="s">
        <v>137</v>
      </c>
      <c r="B153">
        <v>3</v>
      </c>
      <c r="C153">
        <v>1</v>
      </c>
      <c r="D153">
        <v>2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L153" t="s">
        <v>137</v>
      </c>
      <c r="M153">
        <v>3</v>
      </c>
      <c r="N153">
        <v>1</v>
      </c>
      <c r="O153">
        <v>2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W153">
        <f t="shared" si="2"/>
        <v>0</v>
      </c>
    </row>
    <row r="154" spans="1:23">
      <c r="A154" t="s">
        <v>138</v>
      </c>
      <c r="B154">
        <v>3</v>
      </c>
      <c r="C154">
        <v>0</v>
      </c>
      <c r="D154">
        <v>2</v>
      </c>
      <c r="E154">
        <v>0</v>
      </c>
      <c r="F154">
        <v>0</v>
      </c>
      <c r="G154">
        <v>0</v>
      </c>
      <c r="H154">
        <v>1</v>
      </c>
      <c r="I154">
        <v>0</v>
      </c>
      <c r="J154">
        <v>0</v>
      </c>
      <c r="L154" t="s">
        <v>138</v>
      </c>
      <c r="M154">
        <v>3</v>
      </c>
      <c r="N154">
        <v>0</v>
      </c>
      <c r="O154">
        <v>3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W154">
        <f t="shared" si="2"/>
        <v>0</v>
      </c>
    </row>
    <row r="155" spans="1:23">
      <c r="A155" t="s">
        <v>302</v>
      </c>
      <c r="B155">
        <v>21</v>
      </c>
      <c r="C155">
        <v>7</v>
      </c>
      <c r="D155">
        <v>9</v>
      </c>
      <c r="E155">
        <v>0</v>
      </c>
      <c r="F155">
        <v>5</v>
      </c>
      <c r="G155">
        <v>0</v>
      </c>
      <c r="H155">
        <v>0</v>
      </c>
      <c r="I155">
        <v>0</v>
      </c>
      <c r="J155">
        <v>0</v>
      </c>
      <c r="L155" t="s">
        <v>302</v>
      </c>
      <c r="M155">
        <v>21</v>
      </c>
      <c r="N155">
        <v>7</v>
      </c>
      <c r="O155">
        <v>9</v>
      </c>
      <c r="P155">
        <v>0</v>
      </c>
      <c r="Q155">
        <v>5</v>
      </c>
      <c r="R155">
        <v>0</v>
      </c>
      <c r="S155">
        <v>0</v>
      </c>
      <c r="T155">
        <v>0</v>
      </c>
      <c r="U155">
        <v>0</v>
      </c>
      <c r="W155">
        <f t="shared" si="2"/>
        <v>0</v>
      </c>
    </row>
    <row r="156" spans="1:23">
      <c r="A156" t="s">
        <v>303</v>
      </c>
      <c r="B156">
        <v>23</v>
      </c>
      <c r="C156">
        <v>8</v>
      </c>
      <c r="D156">
        <v>9</v>
      </c>
      <c r="E156">
        <v>0</v>
      </c>
      <c r="F156">
        <v>5</v>
      </c>
      <c r="G156">
        <v>1</v>
      </c>
      <c r="H156">
        <v>0</v>
      </c>
      <c r="I156">
        <v>0</v>
      </c>
      <c r="J156">
        <v>0</v>
      </c>
      <c r="L156" t="s">
        <v>303</v>
      </c>
      <c r="M156">
        <v>23</v>
      </c>
      <c r="N156">
        <v>8</v>
      </c>
      <c r="O156">
        <v>9</v>
      </c>
      <c r="P156">
        <v>0</v>
      </c>
      <c r="Q156">
        <v>6</v>
      </c>
      <c r="R156">
        <v>0</v>
      </c>
      <c r="S156">
        <v>0</v>
      </c>
      <c r="T156">
        <v>0</v>
      </c>
      <c r="U156">
        <v>0</v>
      </c>
      <c r="W156">
        <f t="shared" si="2"/>
        <v>0</v>
      </c>
    </row>
    <row r="157" spans="1:23">
      <c r="A157" t="s">
        <v>304</v>
      </c>
      <c r="B157">
        <v>25</v>
      </c>
      <c r="C157">
        <v>14</v>
      </c>
      <c r="D157">
        <v>7</v>
      </c>
      <c r="E157">
        <v>1</v>
      </c>
      <c r="F157">
        <v>1</v>
      </c>
      <c r="G157">
        <v>0</v>
      </c>
      <c r="H157">
        <v>0</v>
      </c>
      <c r="I157">
        <v>0</v>
      </c>
      <c r="J157">
        <v>2</v>
      </c>
      <c r="L157" t="s">
        <v>304</v>
      </c>
      <c r="M157">
        <v>25</v>
      </c>
      <c r="N157">
        <v>14</v>
      </c>
      <c r="O157">
        <v>7</v>
      </c>
      <c r="P157">
        <v>1</v>
      </c>
      <c r="Q157">
        <v>1</v>
      </c>
      <c r="R157">
        <v>0</v>
      </c>
      <c r="S157">
        <v>0</v>
      </c>
      <c r="T157">
        <v>2</v>
      </c>
      <c r="U157">
        <v>0</v>
      </c>
      <c r="W157">
        <f t="shared" si="2"/>
        <v>0</v>
      </c>
    </row>
    <row r="158" spans="1:23">
      <c r="A158" t="s">
        <v>305</v>
      </c>
      <c r="B158">
        <v>13</v>
      </c>
      <c r="C158">
        <v>6</v>
      </c>
      <c r="D158">
        <v>4</v>
      </c>
      <c r="E158">
        <v>1</v>
      </c>
      <c r="F158">
        <v>1</v>
      </c>
      <c r="G158">
        <v>1</v>
      </c>
      <c r="H158">
        <v>0</v>
      </c>
      <c r="I158">
        <v>0</v>
      </c>
      <c r="J158">
        <v>0</v>
      </c>
      <c r="L158" t="s">
        <v>305</v>
      </c>
      <c r="M158">
        <v>13</v>
      </c>
      <c r="N158">
        <v>6</v>
      </c>
      <c r="O158">
        <v>4</v>
      </c>
      <c r="P158">
        <v>1</v>
      </c>
      <c r="Q158">
        <v>2</v>
      </c>
      <c r="R158">
        <v>0</v>
      </c>
      <c r="S158">
        <v>0</v>
      </c>
      <c r="T158">
        <v>0</v>
      </c>
      <c r="U158">
        <v>0</v>
      </c>
      <c r="W158">
        <f t="shared" si="2"/>
        <v>0</v>
      </c>
    </row>
    <row r="159" spans="1:23">
      <c r="A159" t="s">
        <v>306</v>
      </c>
      <c r="B159">
        <v>15</v>
      </c>
      <c r="C159">
        <v>7</v>
      </c>
      <c r="D159">
        <v>4</v>
      </c>
      <c r="E159">
        <v>1</v>
      </c>
      <c r="F159">
        <v>1</v>
      </c>
      <c r="G159">
        <v>2</v>
      </c>
      <c r="H159">
        <v>0</v>
      </c>
      <c r="I159">
        <v>0</v>
      </c>
      <c r="J159">
        <v>0</v>
      </c>
      <c r="L159" t="s">
        <v>306</v>
      </c>
      <c r="M159">
        <v>15</v>
      </c>
      <c r="N159">
        <v>7</v>
      </c>
      <c r="O159">
        <v>4</v>
      </c>
      <c r="P159">
        <v>1</v>
      </c>
      <c r="Q159">
        <v>3</v>
      </c>
      <c r="R159">
        <v>0</v>
      </c>
      <c r="S159">
        <v>0</v>
      </c>
      <c r="T159">
        <v>0</v>
      </c>
      <c r="U159">
        <v>0</v>
      </c>
      <c r="W159">
        <f t="shared" si="2"/>
        <v>0</v>
      </c>
    </row>
    <row r="160" spans="1:23">
      <c r="A160" t="s">
        <v>307</v>
      </c>
      <c r="B160">
        <v>4</v>
      </c>
      <c r="C160">
        <v>2</v>
      </c>
      <c r="D160">
        <v>2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L160" t="s">
        <v>307</v>
      </c>
      <c r="M160">
        <v>4</v>
      </c>
      <c r="N160">
        <v>2</v>
      </c>
      <c r="O160">
        <v>2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W160">
        <f t="shared" si="2"/>
        <v>0</v>
      </c>
    </row>
    <row r="161" spans="1:23">
      <c r="A161" t="s">
        <v>308</v>
      </c>
      <c r="B161">
        <v>4</v>
      </c>
      <c r="C161">
        <v>2</v>
      </c>
      <c r="D161">
        <v>2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L161" t="s">
        <v>308</v>
      </c>
      <c r="M161">
        <v>4</v>
      </c>
      <c r="N161">
        <v>2</v>
      </c>
      <c r="O161">
        <v>2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W161">
        <f t="shared" si="2"/>
        <v>0</v>
      </c>
    </row>
    <row r="162" spans="1:23">
      <c r="A162" t="s">
        <v>309</v>
      </c>
      <c r="B162">
        <v>25</v>
      </c>
      <c r="C162">
        <v>14</v>
      </c>
      <c r="D162">
        <v>7</v>
      </c>
      <c r="E162">
        <v>1</v>
      </c>
      <c r="F162">
        <v>1</v>
      </c>
      <c r="G162">
        <v>0</v>
      </c>
      <c r="H162">
        <v>0</v>
      </c>
      <c r="I162">
        <v>0</v>
      </c>
      <c r="J162">
        <v>2</v>
      </c>
      <c r="L162" t="s">
        <v>309</v>
      </c>
      <c r="M162">
        <v>25</v>
      </c>
      <c r="N162">
        <v>14</v>
      </c>
      <c r="O162">
        <v>7</v>
      </c>
      <c r="P162">
        <v>1</v>
      </c>
      <c r="Q162">
        <v>1</v>
      </c>
      <c r="R162">
        <v>0</v>
      </c>
      <c r="S162">
        <v>0</v>
      </c>
      <c r="T162">
        <v>2</v>
      </c>
      <c r="U162">
        <v>0</v>
      </c>
      <c r="W162">
        <f t="shared" si="2"/>
        <v>0</v>
      </c>
    </row>
    <row r="163" spans="1:23">
      <c r="A163" t="s">
        <v>310</v>
      </c>
      <c r="B163">
        <v>3</v>
      </c>
      <c r="C163">
        <v>2</v>
      </c>
      <c r="D163">
        <v>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L163" t="s">
        <v>310</v>
      </c>
      <c r="M163">
        <v>3</v>
      </c>
      <c r="N163">
        <v>2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W163">
        <f t="shared" si="2"/>
        <v>0</v>
      </c>
    </row>
    <row r="164" spans="1:23">
      <c r="A164" t="s">
        <v>311</v>
      </c>
      <c r="B164">
        <v>44</v>
      </c>
      <c r="C164">
        <v>6</v>
      </c>
      <c r="D164">
        <v>22</v>
      </c>
      <c r="E164">
        <v>11</v>
      </c>
      <c r="F164">
        <v>4</v>
      </c>
      <c r="G164">
        <v>1</v>
      </c>
      <c r="H164">
        <v>0</v>
      </c>
      <c r="I164">
        <v>0</v>
      </c>
      <c r="J164">
        <v>0</v>
      </c>
      <c r="L164" t="s">
        <v>311</v>
      </c>
      <c r="M164">
        <v>44</v>
      </c>
      <c r="N164">
        <v>6</v>
      </c>
      <c r="O164">
        <v>22</v>
      </c>
      <c r="P164">
        <v>11</v>
      </c>
      <c r="Q164">
        <v>5</v>
      </c>
      <c r="R164">
        <v>0</v>
      </c>
      <c r="S164">
        <v>0</v>
      </c>
      <c r="T164">
        <v>0</v>
      </c>
      <c r="U164">
        <v>0</v>
      </c>
      <c r="W164">
        <f t="shared" si="2"/>
        <v>0</v>
      </c>
    </row>
    <row r="165" spans="1:23">
      <c r="A165" t="s">
        <v>312</v>
      </c>
      <c r="B165">
        <v>46</v>
      </c>
      <c r="C165">
        <v>7</v>
      </c>
      <c r="D165">
        <v>22</v>
      </c>
      <c r="E165">
        <v>11</v>
      </c>
      <c r="F165">
        <v>4</v>
      </c>
      <c r="G165">
        <v>2</v>
      </c>
      <c r="H165">
        <v>0</v>
      </c>
      <c r="I165">
        <v>0</v>
      </c>
      <c r="J165">
        <v>0</v>
      </c>
      <c r="L165" t="s">
        <v>312</v>
      </c>
      <c r="M165">
        <v>46</v>
      </c>
      <c r="N165">
        <v>7</v>
      </c>
      <c r="O165">
        <v>22</v>
      </c>
      <c r="P165">
        <v>11</v>
      </c>
      <c r="Q165">
        <v>6</v>
      </c>
      <c r="R165">
        <v>0</v>
      </c>
      <c r="S165">
        <v>0</v>
      </c>
      <c r="T165">
        <v>0</v>
      </c>
      <c r="U165">
        <v>0</v>
      </c>
      <c r="W165">
        <f t="shared" si="2"/>
        <v>0</v>
      </c>
    </row>
    <row r="166" spans="1:23">
      <c r="A166" t="s">
        <v>313</v>
      </c>
      <c r="B166">
        <v>15</v>
      </c>
      <c r="C166">
        <v>9</v>
      </c>
      <c r="D166">
        <v>1</v>
      </c>
      <c r="E166">
        <v>2</v>
      </c>
      <c r="F166">
        <v>3</v>
      </c>
      <c r="G166">
        <v>0</v>
      </c>
      <c r="H166">
        <v>0</v>
      </c>
      <c r="I166">
        <v>0</v>
      </c>
      <c r="J166">
        <v>0</v>
      </c>
      <c r="L166" t="s">
        <v>313</v>
      </c>
      <c r="M166">
        <v>15</v>
      </c>
      <c r="N166">
        <v>9</v>
      </c>
      <c r="O166">
        <v>1</v>
      </c>
      <c r="P166">
        <v>2</v>
      </c>
      <c r="Q166">
        <v>3</v>
      </c>
      <c r="R166">
        <v>0</v>
      </c>
      <c r="S166">
        <v>0</v>
      </c>
      <c r="T166">
        <v>0</v>
      </c>
      <c r="U166">
        <v>0</v>
      </c>
      <c r="W166">
        <f t="shared" si="2"/>
        <v>0</v>
      </c>
    </row>
    <row r="167" spans="1:23">
      <c r="A167" t="s">
        <v>314</v>
      </c>
      <c r="B167">
        <v>17</v>
      </c>
      <c r="C167">
        <v>10</v>
      </c>
      <c r="D167">
        <v>1</v>
      </c>
      <c r="E167">
        <v>2</v>
      </c>
      <c r="F167">
        <v>3</v>
      </c>
      <c r="G167">
        <v>1</v>
      </c>
      <c r="H167">
        <v>0</v>
      </c>
      <c r="I167">
        <v>0</v>
      </c>
      <c r="J167">
        <v>0</v>
      </c>
      <c r="L167" t="s">
        <v>314</v>
      </c>
      <c r="M167">
        <v>17</v>
      </c>
      <c r="N167">
        <v>10</v>
      </c>
      <c r="O167">
        <v>1</v>
      </c>
      <c r="P167">
        <v>2</v>
      </c>
      <c r="Q167">
        <v>4</v>
      </c>
      <c r="R167">
        <v>0</v>
      </c>
      <c r="S167">
        <v>0</v>
      </c>
      <c r="T167">
        <v>0</v>
      </c>
      <c r="U167">
        <v>0</v>
      </c>
      <c r="W167">
        <f t="shared" si="2"/>
        <v>0</v>
      </c>
    </row>
    <row r="168" spans="1:23">
      <c r="A168" t="s">
        <v>315</v>
      </c>
      <c r="B168">
        <v>8</v>
      </c>
      <c r="C168">
        <v>5</v>
      </c>
      <c r="D168">
        <v>1</v>
      </c>
      <c r="E168">
        <v>0</v>
      </c>
      <c r="F168">
        <v>2</v>
      </c>
      <c r="G168">
        <v>0</v>
      </c>
      <c r="H168">
        <v>0</v>
      </c>
      <c r="I168">
        <v>0</v>
      </c>
      <c r="J168">
        <v>0</v>
      </c>
      <c r="L168" t="s">
        <v>315</v>
      </c>
      <c r="M168">
        <v>8</v>
      </c>
      <c r="N168">
        <v>5</v>
      </c>
      <c r="O168">
        <v>1</v>
      </c>
      <c r="P168">
        <v>0</v>
      </c>
      <c r="Q168">
        <v>2</v>
      </c>
      <c r="R168">
        <v>0</v>
      </c>
      <c r="S168">
        <v>0</v>
      </c>
      <c r="T168">
        <v>0</v>
      </c>
      <c r="U168">
        <v>0</v>
      </c>
      <c r="W168">
        <f t="shared" si="2"/>
        <v>0</v>
      </c>
    </row>
    <row r="169" spans="1:23">
      <c r="A169" t="s">
        <v>316</v>
      </c>
      <c r="B169">
        <v>10</v>
      </c>
      <c r="C169">
        <v>6</v>
      </c>
      <c r="D169">
        <v>1</v>
      </c>
      <c r="E169">
        <v>0</v>
      </c>
      <c r="F169">
        <v>2</v>
      </c>
      <c r="G169">
        <v>1</v>
      </c>
      <c r="H169">
        <v>0</v>
      </c>
      <c r="I169">
        <v>0</v>
      </c>
      <c r="J169">
        <v>0</v>
      </c>
      <c r="L169" t="s">
        <v>316</v>
      </c>
      <c r="M169">
        <v>10</v>
      </c>
      <c r="N169">
        <v>6</v>
      </c>
      <c r="O169">
        <v>1</v>
      </c>
      <c r="P169">
        <v>0</v>
      </c>
      <c r="Q169">
        <v>3</v>
      </c>
      <c r="R169">
        <v>0</v>
      </c>
      <c r="S169">
        <v>0</v>
      </c>
      <c r="T169">
        <v>0</v>
      </c>
      <c r="U169">
        <v>0</v>
      </c>
      <c r="W169">
        <f t="shared" si="2"/>
        <v>0</v>
      </c>
    </row>
    <row r="170" spans="1:23">
      <c r="A170" t="s">
        <v>317</v>
      </c>
      <c r="B170">
        <v>59</v>
      </c>
      <c r="C170">
        <v>23</v>
      </c>
      <c r="D170">
        <v>16</v>
      </c>
      <c r="E170">
        <v>18</v>
      </c>
      <c r="F170">
        <v>2</v>
      </c>
      <c r="G170">
        <v>0</v>
      </c>
      <c r="H170">
        <v>0</v>
      </c>
      <c r="I170">
        <v>0</v>
      </c>
      <c r="J170">
        <v>0</v>
      </c>
      <c r="L170" t="s">
        <v>317</v>
      </c>
      <c r="M170">
        <v>59</v>
      </c>
      <c r="N170">
        <v>23</v>
      </c>
      <c r="O170">
        <v>16</v>
      </c>
      <c r="P170">
        <v>18</v>
      </c>
      <c r="Q170">
        <v>2</v>
      </c>
      <c r="R170">
        <v>0</v>
      </c>
      <c r="S170">
        <v>0</v>
      </c>
      <c r="T170">
        <v>0</v>
      </c>
      <c r="U170">
        <v>0</v>
      </c>
      <c r="W170">
        <f t="shared" si="2"/>
        <v>0</v>
      </c>
    </row>
    <row r="171" spans="1:23">
      <c r="A171" t="s">
        <v>318</v>
      </c>
      <c r="B171">
        <v>61</v>
      </c>
      <c r="C171">
        <v>24</v>
      </c>
      <c r="D171">
        <v>16</v>
      </c>
      <c r="E171">
        <v>18</v>
      </c>
      <c r="F171">
        <v>2</v>
      </c>
      <c r="G171">
        <v>1</v>
      </c>
      <c r="H171">
        <v>0</v>
      </c>
      <c r="I171">
        <v>0</v>
      </c>
      <c r="J171">
        <v>0</v>
      </c>
      <c r="L171" t="s">
        <v>318</v>
      </c>
      <c r="M171">
        <v>61</v>
      </c>
      <c r="N171">
        <v>24</v>
      </c>
      <c r="O171">
        <v>16</v>
      </c>
      <c r="P171">
        <v>18</v>
      </c>
      <c r="Q171">
        <v>3</v>
      </c>
      <c r="R171">
        <v>0</v>
      </c>
      <c r="S171">
        <v>0</v>
      </c>
      <c r="T171">
        <v>0</v>
      </c>
      <c r="U171">
        <v>0</v>
      </c>
      <c r="W171">
        <f t="shared" si="2"/>
        <v>0</v>
      </c>
    </row>
    <row r="172" spans="1:23">
      <c r="A172" t="s">
        <v>319</v>
      </c>
      <c r="B172">
        <v>2</v>
      </c>
      <c r="C172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L172" t="s">
        <v>319</v>
      </c>
      <c r="M172">
        <v>2</v>
      </c>
      <c r="N172">
        <v>2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W172">
        <f t="shared" si="2"/>
        <v>0</v>
      </c>
    </row>
    <row r="173" spans="1:23">
      <c r="A173" t="s">
        <v>320</v>
      </c>
      <c r="B173">
        <v>4</v>
      </c>
      <c r="C173">
        <v>2</v>
      </c>
      <c r="D173">
        <v>2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L173" t="s">
        <v>320</v>
      </c>
      <c r="M173">
        <v>4</v>
      </c>
      <c r="N173">
        <v>2</v>
      </c>
      <c r="O173">
        <v>2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W173">
        <f t="shared" si="2"/>
        <v>0</v>
      </c>
    </row>
    <row r="174" spans="1:23">
      <c r="A174" t="s">
        <v>321</v>
      </c>
      <c r="B174">
        <v>10</v>
      </c>
      <c r="C174">
        <v>6</v>
      </c>
      <c r="D174">
        <v>3</v>
      </c>
      <c r="E174">
        <v>0</v>
      </c>
      <c r="F174">
        <v>1</v>
      </c>
      <c r="G174">
        <v>0</v>
      </c>
      <c r="H174">
        <v>0</v>
      </c>
      <c r="I174">
        <v>0</v>
      </c>
      <c r="J174">
        <v>0</v>
      </c>
      <c r="L174" t="s">
        <v>321</v>
      </c>
      <c r="M174">
        <v>10</v>
      </c>
      <c r="N174">
        <v>6</v>
      </c>
      <c r="O174">
        <v>3</v>
      </c>
      <c r="P174">
        <v>0</v>
      </c>
      <c r="Q174">
        <v>1</v>
      </c>
      <c r="R174">
        <v>0</v>
      </c>
      <c r="S174">
        <v>0</v>
      </c>
      <c r="T174">
        <v>0</v>
      </c>
      <c r="U174">
        <v>0</v>
      </c>
      <c r="W174">
        <f t="shared" si="2"/>
        <v>0</v>
      </c>
    </row>
    <row r="175" spans="1:23">
      <c r="A175" t="s">
        <v>322</v>
      </c>
      <c r="B175">
        <v>12</v>
      </c>
      <c r="C175">
        <v>7</v>
      </c>
      <c r="D175">
        <v>3</v>
      </c>
      <c r="E175">
        <v>0</v>
      </c>
      <c r="F175">
        <v>1</v>
      </c>
      <c r="G175">
        <v>1</v>
      </c>
      <c r="H175">
        <v>0</v>
      </c>
      <c r="I175">
        <v>0</v>
      </c>
      <c r="J175">
        <v>0</v>
      </c>
      <c r="L175" t="s">
        <v>322</v>
      </c>
      <c r="M175">
        <v>12</v>
      </c>
      <c r="N175">
        <v>7</v>
      </c>
      <c r="O175">
        <v>3</v>
      </c>
      <c r="P175">
        <v>0</v>
      </c>
      <c r="Q175">
        <v>2</v>
      </c>
      <c r="R175">
        <v>0</v>
      </c>
      <c r="S175">
        <v>0</v>
      </c>
      <c r="T175">
        <v>0</v>
      </c>
      <c r="U175">
        <v>0</v>
      </c>
      <c r="W175">
        <f t="shared" si="2"/>
        <v>0</v>
      </c>
    </row>
    <row r="176" spans="1:23">
      <c r="A176" t="s">
        <v>323</v>
      </c>
      <c r="B176">
        <v>12</v>
      </c>
      <c r="C176">
        <v>5</v>
      </c>
      <c r="D176">
        <v>5</v>
      </c>
      <c r="E176">
        <v>0</v>
      </c>
      <c r="F176">
        <v>0</v>
      </c>
      <c r="G176">
        <v>2</v>
      </c>
      <c r="H176">
        <v>0</v>
      </c>
      <c r="I176">
        <v>0</v>
      </c>
      <c r="J176">
        <v>0</v>
      </c>
      <c r="L176" t="s">
        <v>323</v>
      </c>
      <c r="M176">
        <v>12</v>
      </c>
      <c r="N176">
        <v>5</v>
      </c>
      <c r="O176">
        <v>5</v>
      </c>
      <c r="P176">
        <v>0</v>
      </c>
      <c r="Q176">
        <v>2</v>
      </c>
      <c r="R176">
        <v>0</v>
      </c>
      <c r="S176">
        <v>0</v>
      </c>
      <c r="T176">
        <v>0</v>
      </c>
      <c r="U176">
        <v>0</v>
      </c>
      <c r="W176">
        <f t="shared" si="2"/>
        <v>0</v>
      </c>
    </row>
    <row r="177" spans="1:23">
      <c r="A177" t="s">
        <v>324</v>
      </c>
      <c r="B177">
        <v>14</v>
      </c>
      <c r="C177">
        <v>6</v>
      </c>
      <c r="D177">
        <v>5</v>
      </c>
      <c r="E177">
        <v>0</v>
      </c>
      <c r="F177">
        <v>0</v>
      </c>
      <c r="G177">
        <v>3</v>
      </c>
      <c r="H177">
        <v>0</v>
      </c>
      <c r="I177">
        <v>0</v>
      </c>
      <c r="J177">
        <v>0</v>
      </c>
      <c r="L177" t="s">
        <v>324</v>
      </c>
      <c r="M177">
        <v>14</v>
      </c>
      <c r="N177">
        <v>6</v>
      </c>
      <c r="O177">
        <v>5</v>
      </c>
      <c r="P177">
        <v>0</v>
      </c>
      <c r="Q177">
        <v>3</v>
      </c>
      <c r="R177">
        <v>0</v>
      </c>
      <c r="S177">
        <v>0</v>
      </c>
      <c r="T177">
        <v>0</v>
      </c>
      <c r="U177">
        <v>0</v>
      </c>
      <c r="W177">
        <f t="shared" si="2"/>
        <v>0</v>
      </c>
    </row>
    <row r="178" spans="1:23">
      <c r="A178" t="s">
        <v>343</v>
      </c>
      <c r="B178">
        <v>3</v>
      </c>
      <c r="C178">
        <v>1</v>
      </c>
      <c r="D178">
        <v>2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23">
      <c r="A179" t="s">
        <v>325</v>
      </c>
      <c r="B179">
        <v>41</v>
      </c>
      <c r="C179">
        <v>5</v>
      </c>
      <c r="D179">
        <v>26</v>
      </c>
      <c r="E179">
        <v>2</v>
      </c>
      <c r="F179">
        <v>8</v>
      </c>
      <c r="G179">
        <v>0</v>
      </c>
      <c r="H179">
        <v>0</v>
      </c>
      <c r="I179">
        <v>0</v>
      </c>
      <c r="J179">
        <v>0</v>
      </c>
      <c r="L179" t="s">
        <v>325</v>
      </c>
      <c r="M179">
        <v>41</v>
      </c>
      <c r="N179">
        <v>5</v>
      </c>
      <c r="O179">
        <v>26</v>
      </c>
      <c r="P179">
        <v>2</v>
      </c>
      <c r="Q179">
        <v>8</v>
      </c>
      <c r="R179">
        <v>0</v>
      </c>
      <c r="S179">
        <v>0</v>
      </c>
      <c r="T179">
        <v>0</v>
      </c>
      <c r="U179">
        <v>0</v>
      </c>
      <c r="W179">
        <f>B179-M179</f>
        <v>0</v>
      </c>
    </row>
    <row r="180" spans="1:23">
      <c r="A180" t="s">
        <v>326</v>
      </c>
      <c r="B180">
        <v>9</v>
      </c>
      <c r="C180">
        <v>6</v>
      </c>
      <c r="D180">
        <v>1</v>
      </c>
      <c r="E180">
        <v>0</v>
      </c>
      <c r="F180">
        <v>2</v>
      </c>
      <c r="G180">
        <v>0</v>
      </c>
      <c r="H180">
        <v>0</v>
      </c>
      <c r="I180">
        <v>0</v>
      </c>
      <c r="J180">
        <v>0</v>
      </c>
      <c r="L180" t="s">
        <v>326</v>
      </c>
      <c r="M180">
        <v>9</v>
      </c>
      <c r="N180">
        <v>6</v>
      </c>
      <c r="O180">
        <v>1</v>
      </c>
      <c r="P180">
        <v>0</v>
      </c>
      <c r="Q180">
        <v>2</v>
      </c>
      <c r="R180">
        <v>0</v>
      </c>
      <c r="S180">
        <v>0</v>
      </c>
      <c r="T180">
        <v>0</v>
      </c>
      <c r="U180">
        <v>0</v>
      </c>
      <c r="W180">
        <f t="shared" ref="W180:W183" si="3">B180-M180</f>
        <v>0</v>
      </c>
    </row>
    <row r="181" spans="1:23">
      <c r="A181" t="s">
        <v>327</v>
      </c>
      <c r="B181">
        <v>41</v>
      </c>
      <c r="C181">
        <v>5</v>
      </c>
      <c r="D181">
        <v>26</v>
      </c>
      <c r="E181">
        <v>2</v>
      </c>
      <c r="F181">
        <v>8</v>
      </c>
      <c r="G181">
        <v>0</v>
      </c>
      <c r="H181">
        <v>0</v>
      </c>
      <c r="I181">
        <v>0</v>
      </c>
      <c r="J181">
        <v>0</v>
      </c>
      <c r="L181" t="s">
        <v>327</v>
      </c>
      <c r="M181">
        <v>41</v>
      </c>
      <c r="N181">
        <v>5</v>
      </c>
      <c r="O181">
        <v>26</v>
      </c>
      <c r="P181">
        <v>2</v>
      </c>
      <c r="Q181">
        <v>8</v>
      </c>
      <c r="R181">
        <v>0</v>
      </c>
      <c r="S181">
        <v>0</v>
      </c>
      <c r="T181">
        <v>0</v>
      </c>
      <c r="U181">
        <v>0</v>
      </c>
      <c r="W181">
        <f t="shared" si="3"/>
        <v>0</v>
      </c>
    </row>
    <row r="182" spans="1:23">
      <c r="A182" t="s">
        <v>328</v>
      </c>
      <c r="B182">
        <v>43</v>
      </c>
      <c r="C182">
        <v>6</v>
      </c>
      <c r="D182">
        <v>26</v>
      </c>
      <c r="E182">
        <v>2</v>
      </c>
      <c r="F182">
        <v>8</v>
      </c>
      <c r="G182">
        <v>1</v>
      </c>
      <c r="H182">
        <v>0</v>
      </c>
      <c r="I182">
        <v>0</v>
      </c>
      <c r="J182">
        <v>0</v>
      </c>
      <c r="L182" t="s">
        <v>328</v>
      </c>
      <c r="M182">
        <v>43</v>
      </c>
      <c r="N182">
        <v>6</v>
      </c>
      <c r="O182">
        <v>26</v>
      </c>
      <c r="P182">
        <v>2</v>
      </c>
      <c r="Q182">
        <v>9</v>
      </c>
      <c r="R182">
        <v>0</v>
      </c>
      <c r="S182">
        <v>0</v>
      </c>
      <c r="T182">
        <v>0</v>
      </c>
      <c r="U182">
        <v>0</v>
      </c>
      <c r="W182">
        <f t="shared" si="3"/>
        <v>0</v>
      </c>
    </row>
    <row r="183" spans="1:23">
      <c r="A183" t="s">
        <v>329</v>
      </c>
      <c r="B183">
        <v>1</v>
      </c>
      <c r="C183">
        <v>0</v>
      </c>
      <c r="D183">
        <v>0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0</v>
      </c>
      <c r="L183" t="s">
        <v>329</v>
      </c>
      <c r="M183">
        <v>1</v>
      </c>
      <c r="N183">
        <v>0</v>
      </c>
      <c r="O183">
        <v>0</v>
      </c>
      <c r="P183">
        <v>1</v>
      </c>
      <c r="Q183">
        <v>0</v>
      </c>
      <c r="R183">
        <v>0</v>
      </c>
      <c r="S183">
        <v>0</v>
      </c>
      <c r="T183">
        <v>0</v>
      </c>
      <c r="U183">
        <v>0</v>
      </c>
      <c r="W183">
        <f t="shared" si="3"/>
        <v>0</v>
      </c>
    </row>
  </sheetData>
  <autoFilter ref="L1:U182" xr:uid="{D00F29F6-8EE4-41B4-8358-D110ADCD6244}">
    <sortState xmlns:xlrd2="http://schemas.microsoft.com/office/spreadsheetml/2017/richdata2" ref="L2:U182">
      <sortCondition ref="L1:L182"/>
    </sortState>
  </autoFilter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9CB4A-414F-4313-81E8-A11CBE63DAF5}">
  <dimension ref="A1:P23"/>
  <sheetViews>
    <sheetView workbookViewId="0">
      <selection activeCell="M22" sqref="M22"/>
    </sheetView>
  </sheetViews>
  <sheetFormatPr defaultRowHeight="14.4"/>
  <cols>
    <col min="1" max="1" width="17.6640625" customWidth="1"/>
  </cols>
  <sheetData>
    <row r="1" spans="1:16">
      <c r="A1" t="s">
        <v>16</v>
      </c>
      <c r="B1" t="s">
        <v>334</v>
      </c>
      <c r="D1" t="s">
        <v>154</v>
      </c>
      <c r="E1" t="s">
        <v>344</v>
      </c>
      <c r="J1" t="s">
        <v>170</v>
      </c>
      <c r="K1">
        <v>39</v>
      </c>
      <c r="M1" t="s">
        <v>170</v>
      </c>
      <c r="N1">
        <v>38</v>
      </c>
      <c r="P1">
        <v>1</v>
      </c>
    </row>
    <row r="2" spans="1:16">
      <c r="A2" t="s">
        <v>170</v>
      </c>
      <c r="B2">
        <v>39</v>
      </c>
      <c r="D2" t="s">
        <v>170</v>
      </c>
      <c r="E2">
        <v>38</v>
      </c>
      <c r="F2">
        <f>B2-E2</f>
        <v>1</v>
      </c>
      <c r="J2" t="s">
        <v>212</v>
      </c>
      <c r="K2">
        <v>10</v>
      </c>
      <c r="M2" t="s">
        <v>212</v>
      </c>
      <c r="N2">
        <v>9</v>
      </c>
      <c r="P2">
        <v>1</v>
      </c>
    </row>
    <row r="3" spans="1:16">
      <c r="A3" t="s">
        <v>185</v>
      </c>
      <c r="B3">
        <v>26</v>
      </c>
      <c r="D3" t="s">
        <v>185</v>
      </c>
      <c r="E3">
        <v>27</v>
      </c>
      <c r="F3">
        <f t="shared" ref="F3:F23" si="0">B3-E3</f>
        <v>-1</v>
      </c>
      <c r="J3" t="s">
        <v>237</v>
      </c>
      <c r="K3">
        <v>171</v>
      </c>
      <c r="M3" t="s">
        <v>237</v>
      </c>
      <c r="N3">
        <v>168</v>
      </c>
      <c r="P3">
        <v>3</v>
      </c>
    </row>
    <row r="4" spans="1:16">
      <c r="A4" t="s">
        <v>186</v>
      </c>
      <c r="B4">
        <v>2</v>
      </c>
      <c r="D4" t="s">
        <v>186</v>
      </c>
      <c r="E4">
        <v>3</v>
      </c>
      <c r="F4">
        <f t="shared" si="0"/>
        <v>-1</v>
      </c>
      <c r="J4" t="s">
        <v>241</v>
      </c>
      <c r="K4">
        <v>172</v>
      </c>
      <c r="M4" t="s">
        <v>241</v>
      </c>
      <c r="N4">
        <v>169</v>
      </c>
      <c r="P4">
        <v>3</v>
      </c>
    </row>
    <row r="5" spans="1:16">
      <c r="A5" t="s">
        <v>190</v>
      </c>
      <c r="B5">
        <v>7</v>
      </c>
      <c r="D5" t="s">
        <v>190</v>
      </c>
      <c r="E5">
        <v>13</v>
      </c>
      <c r="F5">
        <f t="shared" si="0"/>
        <v>-6</v>
      </c>
      <c r="J5" s="4" t="s">
        <v>292</v>
      </c>
      <c r="K5" s="4">
        <v>231</v>
      </c>
      <c r="M5" s="4" t="s">
        <v>292</v>
      </c>
      <c r="N5" s="4">
        <v>230</v>
      </c>
      <c r="P5" s="4">
        <v>1</v>
      </c>
    </row>
    <row r="6" spans="1:16">
      <c r="A6" t="s">
        <v>193</v>
      </c>
      <c r="B6">
        <v>9</v>
      </c>
      <c r="D6" t="s">
        <v>193</v>
      </c>
      <c r="E6">
        <v>11</v>
      </c>
      <c r="F6">
        <f t="shared" si="0"/>
        <v>-2</v>
      </c>
      <c r="J6" s="5" t="s">
        <v>293</v>
      </c>
      <c r="K6" s="5">
        <v>233</v>
      </c>
      <c r="M6" s="5" t="s">
        <v>293</v>
      </c>
      <c r="N6" s="5">
        <v>232</v>
      </c>
      <c r="P6" s="5">
        <v>1</v>
      </c>
    </row>
    <row r="7" spans="1:16">
      <c r="A7" t="s">
        <v>212</v>
      </c>
      <c r="B7">
        <v>10</v>
      </c>
      <c r="D7" t="s">
        <v>212</v>
      </c>
      <c r="E7">
        <v>9</v>
      </c>
      <c r="F7">
        <f t="shared" si="0"/>
        <v>1</v>
      </c>
      <c r="J7" t="s">
        <v>323</v>
      </c>
      <c r="K7">
        <v>12</v>
      </c>
      <c r="M7" t="s">
        <v>323</v>
      </c>
      <c r="N7">
        <v>13</v>
      </c>
      <c r="P7">
        <v>-1</v>
      </c>
    </row>
    <row r="8" spans="1:16">
      <c r="A8" t="s">
        <v>213</v>
      </c>
      <c r="B8">
        <v>9</v>
      </c>
      <c r="D8" t="s">
        <v>213</v>
      </c>
      <c r="E8">
        <v>10</v>
      </c>
      <c r="F8">
        <f t="shared" si="0"/>
        <v>-1</v>
      </c>
      <c r="J8" t="s">
        <v>324</v>
      </c>
      <c r="K8">
        <v>14</v>
      </c>
      <c r="M8" t="s">
        <v>324</v>
      </c>
      <c r="N8">
        <v>15</v>
      </c>
      <c r="P8">
        <v>-1</v>
      </c>
    </row>
    <row r="9" spans="1:16">
      <c r="A9" t="s">
        <v>217</v>
      </c>
      <c r="B9">
        <v>7</v>
      </c>
      <c r="D9" t="s">
        <v>217</v>
      </c>
      <c r="E9">
        <v>8</v>
      </c>
      <c r="F9">
        <f t="shared" si="0"/>
        <v>-1</v>
      </c>
    </row>
    <row r="10" spans="1:16">
      <c r="A10" t="s">
        <v>219</v>
      </c>
      <c r="B10">
        <v>12</v>
      </c>
      <c r="D10" t="s">
        <v>219</v>
      </c>
      <c r="E10">
        <v>13</v>
      </c>
      <c r="F10">
        <f t="shared" si="0"/>
        <v>-1</v>
      </c>
    </row>
    <row r="11" spans="1:16">
      <c r="A11" t="s">
        <v>221</v>
      </c>
      <c r="B11">
        <v>13</v>
      </c>
      <c r="D11" t="s">
        <v>221</v>
      </c>
      <c r="E11">
        <v>14</v>
      </c>
      <c r="F11">
        <f t="shared" si="0"/>
        <v>-1</v>
      </c>
    </row>
    <row r="12" spans="1:16">
      <c r="A12" t="s">
        <v>237</v>
      </c>
      <c r="B12">
        <v>171</v>
      </c>
      <c r="D12" t="s">
        <v>237</v>
      </c>
      <c r="E12">
        <v>168</v>
      </c>
      <c r="F12">
        <f t="shared" si="0"/>
        <v>3</v>
      </c>
    </row>
    <row r="13" spans="1:16">
      <c r="A13" t="s">
        <v>241</v>
      </c>
      <c r="B13">
        <v>172</v>
      </c>
      <c r="D13" t="s">
        <v>241</v>
      </c>
      <c r="E13">
        <v>169</v>
      </c>
      <c r="F13">
        <f t="shared" si="0"/>
        <v>3</v>
      </c>
    </row>
    <row r="14" spans="1:16">
      <c r="A14" s="4" t="s">
        <v>292</v>
      </c>
      <c r="B14" s="4">
        <v>231</v>
      </c>
      <c r="D14" s="4" t="s">
        <v>292</v>
      </c>
      <c r="E14" s="4">
        <v>230</v>
      </c>
      <c r="F14">
        <f t="shared" si="0"/>
        <v>1</v>
      </c>
    </row>
    <row r="15" spans="1:16">
      <c r="A15" s="5" t="s">
        <v>293</v>
      </c>
      <c r="B15" s="5">
        <v>233</v>
      </c>
      <c r="D15" s="5" t="s">
        <v>293</v>
      </c>
      <c r="E15" s="5">
        <v>232</v>
      </c>
      <c r="F15">
        <f t="shared" si="0"/>
        <v>1</v>
      </c>
    </row>
    <row r="16" spans="1:16">
      <c r="A16" t="s">
        <v>323</v>
      </c>
      <c r="B16">
        <v>12</v>
      </c>
      <c r="D16" t="s">
        <v>323</v>
      </c>
      <c r="E16">
        <v>13</v>
      </c>
      <c r="F16">
        <f t="shared" si="0"/>
        <v>-1</v>
      </c>
    </row>
    <row r="17" spans="1:6">
      <c r="A17" t="s">
        <v>324</v>
      </c>
      <c r="B17">
        <v>14</v>
      </c>
      <c r="D17" t="s">
        <v>324</v>
      </c>
      <c r="E17">
        <v>15</v>
      </c>
      <c r="F17">
        <f t="shared" si="0"/>
        <v>-1</v>
      </c>
    </row>
    <row r="18" spans="1:6">
      <c r="A18" t="s">
        <v>343</v>
      </c>
      <c r="B18">
        <v>3</v>
      </c>
    </row>
    <row r="19" spans="1:6">
      <c r="A19" t="s">
        <v>325</v>
      </c>
      <c r="B19">
        <v>41</v>
      </c>
      <c r="D19" t="s">
        <v>325</v>
      </c>
      <c r="E19">
        <v>41</v>
      </c>
      <c r="F19">
        <f t="shared" si="0"/>
        <v>0</v>
      </c>
    </row>
    <row r="20" spans="1:6">
      <c r="A20" t="s">
        <v>326</v>
      </c>
      <c r="B20">
        <v>9</v>
      </c>
      <c r="D20" t="s">
        <v>326</v>
      </c>
      <c r="E20">
        <v>9</v>
      </c>
      <c r="F20">
        <f t="shared" si="0"/>
        <v>0</v>
      </c>
    </row>
    <row r="21" spans="1:6">
      <c r="A21" t="s">
        <v>327</v>
      </c>
      <c r="B21">
        <v>41</v>
      </c>
      <c r="D21" t="s">
        <v>327</v>
      </c>
      <c r="E21">
        <v>41</v>
      </c>
      <c r="F21">
        <f t="shared" si="0"/>
        <v>0</v>
      </c>
    </row>
    <row r="22" spans="1:6">
      <c r="A22" t="s">
        <v>328</v>
      </c>
      <c r="B22">
        <v>43</v>
      </c>
      <c r="D22" t="s">
        <v>328</v>
      </c>
      <c r="E22">
        <v>43</v>
      </c>
      <c r="F22">
        <f t="shared" si="0"/>
        <v>0</v>
      </c>
    </row>
    <row r="23" spans="1:6">
      <c r="A23" t="s">
        <v>329</v>
      </c>
      <c r="B23">
        <v>1</v>
      </c>
      <c r="D23" t="s">
        <v>329</v>
      </c>
      <c r="E23">
        <v>1</v>
      </c>
      <c r="F23">
        <f t="shared" si="0"/>
        <v>0</v>
      </c>
    </row>
  </sheetData>
  <pageMargins left="0.7" right="0.7" top="0.75" bottom="0.75" header="0.3" footer="0.3"/>
  <pageSetup paperSize="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BD157-DE7F-478A-A92A-3AD3332A044D}">
  <dimension ref="A1:T182"/>
  <sheetViews>
    <sheetView workbookViewId="0">
      <selection activeCell="B18" sqref="B18"/>
    </sheetView>
  </sheetViews>
  <sheetFormatPr defaultRowHeight="14.4"/>
  <cols>
    <col min="1" max="1" width="19.109375" bestFit="1" customWidth="1"/>
    <col min="5" max="5" width="15.6640625" bestFit="1" customWidth="1"/>
    <col min="9" max="9" width="15.6640625" bestFit="1" customWidth="1"/>
    <col min="14" max="14" width="43.88671875" bestFit="1" customWidth="1"/>
    <col min="16" max="16" width="34.109375" customWidth="1"/>
    <col min="18" max="18" width="17.21875" bestFit="1" customWidth="1"/>
  </cols>
  <sheetData>
    <row r="1" spans="1:20" s="2" customFormat="1">
      <c r="A1" s="2" t="s">
        <v>0</v>
      </c>
      <c r="B1" s="2" t="s">
        <v>1</v>
      </c>
      <c r="E1" s="2" t="s">
        <v>14</v>
      </c>
      <c r="F1" s="2" t="s">
        <v>15</v>
      </c>
      <c r="I1" s="2" t="s">
        <v>14</v>
      </c>
      <c r="J1" s="2" t="s">
        <v>15</v>
      </c>
      <c r="N1" s="2" t="s">
        <v>16</v>
      </c>
      <c r="O1" s="2" t="s">
        <v>330</v>
      </c>
      <c r="P1" s="2" t="s">
        <v>154</v>
      </c>
      <c r="Q1" s="2" t="s">
        <v>331</v>
      </c>
      <c r="T1" s="2" t="s">
        <v>332</v>
      </c>
    </row>
    <row r="2" spans="1:20">
      <c r="A2" t="s">
        <v>168</v>
      </c>
      <c r="B2">
        <v>3</v>
      </c>
      <c r="E2" t="s">
        <v>168</v>
      </c>
      <c r="F2">
        <v>20</v>
      </c>
      <c r="I2" t="s">
        <v>168</v>
      </c>
      <c r="J2">
        <v>20</v>
      </c>
      <c r="N2" t="s">
        <v>170</v>
      </c>
      <c r="O2">
        <v>39</v>
      </c>
      <c r="P2" t="s">
        <v>170</v>
      </c>
      <c r="Q2">
        <v>39</v>
      </c>
      <c r="T2">
        <f>O2-Q2</f>
        <v>0</v>
      </c>
    </row>
    <row r="3" spans="1:20">
      <c r="A3" t="s">
        <v>2</v>
      </c>
      <c r="B3">
        <v>275</v>
      </c>
      <c r="E3" t="s">
        <v>2</v>
      </c>
      <c r="F3">
        <v>177</v>
      </c>
      <c r="I3" t="s">
        <v>2</v>
      </c>
      <c r="J3">
        <v>179</v>
      </c>
      <c r="N3" t="s">
        <v>171</v>
      </c>
      <c r="O3">
        <v>40</v>
      </c>
      <c r="P3" t="s">
        <v>171</v>
      </c>
      <c r="Q3">
        <v>40</v>
      </c>
      <c r="R3" t="s">
        <v>172</v>
      </c>
      <c r="S3">
        <v>40</v>
      </c>
      <c r="T3">
        <f t="shared" ref="T3:T66" si="0">O3-Q3</f>
        <v>0</v>
      </c>
    </row>
    <row r="4" spans="1:20">
      <c r="A4" t="s">
        <v>3</v>
      </c>
      <c r="B4" s="1">
        <v>31931</v>
      </c>
      <c r="E4" t="s">
        <v>7</v>
      </c>
      <c r="F4">
        <v>114</v>
      </c>
      <c r="I4" t="s">
        <v>7</v>
      </c>
      <c r="J4">
        <v>114</v>
      </c>
      <c r="N4" t="s">
        <v>173</v>
      </c>
      <c r="O4">
        <v>5</v>
      </c>
      <c r="P4" t="s">
        <v>173</v>
      </c>
      <c r="Q4">
        <v>5</v>
      </c>
      <c r="T4">
        <f t="shared" si="0"/>
        <v>0</v>
      </c>
    </row>
    <row r="5" spans="1:20">
      <c r="A5" t="s">
        <v>4</v>
      </c>
      <c r="B5" s="1">
        <v>36186</v>
      </c>
      <c r="E5" t="s">
        <v>8</v>
      </c>
      <c r="F5">
        <v>56</v>
      </c>
      <c r="I5" t="s">
        <v>8</v>
      </c>
      <c r="J5">
        <v>56</v>
      </c>
      <c r="N5" t="s">
        <v>174</v>
      </c>
      <c r="O5">
        <v>18</v>
      </c>
      <c r="P5" t="s">
        <v>174</v>
      </c>
      <c r="Q5">
        <v>18</v>
      </c>
      <c r="T5">
        <f t="shared" si="0"/>
        <v>0</v>
      </c>
    </row>
    <row r="6" spans="1:20">
      <c r="A6" t="s">
        <v>5</v>
      </c>
      <c r="B6">
        <v>9</v>
      </c>
      <c r="E6" t="s">
        <v>169</v>
      </c>
      <c r="F6">
        <v>1</v>
      </c>
      <c r="I6" t="s">
        <v>169</v>
      </c>
      <c r="J6">
        <v>1</v>
      </c>
      <c r="N6" t="s">
        <v>175</v>
      </c>
      <c r="O6">
        <v>20</v>
      </c>
      <c r="P6" t="s">
        <v>175</v>
      </c>
      <c r="Q6">
        <v>20</v>
      </c>
      <c r="T6">
        <f t="shared" si="0"/>
        <v>0</v>
      </c>
    </row>
    <row r="7" spans="1:20">
      <c r="A7" t="s">
        <v>6</v>
      </c>
      <c r="B7">
        <v>9</v>
      </c>
      <c r="E7" t="s">
        <v>9</v>
      </c>
      <c r="F7">
        <v>180</v>
      </c>
      <c r="I7" t="s">
        <v>9</v>
      </c>
      <c r="J7">
        <v>184</v>
      </c>
      <c r="N7" t="s">
        <v>176</v>
      </c>
      <c r="O7">
        <v>27</v>
      </c>
      <c r="P7" t="s">
        <v>176</v>
      </c>
      <c r="Q7">
        <v>28</v>
      </c>
      <c r="T7">
        <f t="shared" si="0"/>
        <v>-1</v>
      </c>
    </row>
    <row r="8" spans="1:20">
      <c r="A8" t="s">
        <v>7</v>
      </c>
      <c r="B8">
        <v>10</v>
      </c>
      <c r="E8" t="s">
        <v>10</v>
      </c>
      <c r="F8">
        <v>113</v>
      </c>
      <c r="I8" t="s">
        <v>10</v>
      </c>
      <c r="J8">
        <v>113</v>
      </c>
      <c r="N8" t="s">
        <v>177</v>
      </c>
      <c r="O8">
        <v>29</v>
      </c>
      <c r="P8" t="s">
        <v>177</v>
      </c>
      <c r="Q8">
        <v>29</v>
      </c>
      <c r="T8">
        <f t="shared" si="0"/>
        <v>0</v>
      </c>
    </row>
    <row r="9" spans="1:20">
      <c r="A9" t="s">
        <v>8</v>
      </c>
      <c r="B9">
        <v>56</v>
      </c>
      <c r="I9" t="s">
        <v>12</v>
      </c>
      <c r="J9">
        <v>46</v>
      </c>
      <c r="N9" t="s">
        <v>178</v>
      </c>
      <c r="O9">
        <v>29</v>
      </c>
      <c r="P9" t="s">
        <v>178</v>
      </c>
      <c r="Q9">
        <v>29</v>
      </c>
      <c r="T9">
        <f t="shared" si="0"/>
        <v>0</v>
      </c>
    </row>
    <row r="10" spans="1:20">
      <c r="A10" t="s">
        <v>169</v>
      </c>
      <c r="B10">
        <v>1</v>
      </c>
      <c r="N10" t="s">
        <v>20</v>
      </c>
      <c r="O10">
        <v>8</v>
      </c>
      <c r="P10" t="s">
        <v>20</v>
      </c>
      <c r="Q10">
        <v>8</v>
      </c>
      <c r="T10">
        <f t="shared" si="0"/>
        <v>0</v>
      </c>
    </row>
    <row r="11" spans="1:20">
      <c r="A11" t="s">
        <v>9</v>
      </c>
      <c r="B11">
        <v>181</v>
      </c>
      <c r="N11" t="s">
        <v>179</v>
      </c>
      <c r="O11">
        <v>6</v>
      </c>
      <c r="P11" t="s">
        <v>179</v>
      </c>
      <c r="Q11">
        <v>6</v>
      </c>
      <c r="T11">
        <f t="shared" si="0"/>
        <v>0</v>
      </c>
    </row>
    <row r="12" spans="1:20">
      <c r="A12" t="s">
        <v>10</v>
      </c>
      <c r="B12" s="1">
        <v>19221</v>
      </c>
      <c r="N12" t="s">
        <v>180</v>
      </c>
      <c r="O12">
        <v>7</v>
      </c>
      <c r="P12" t="s">
        <v>180</v>
      </c>
      <c r="Q12">
        <v>7</v>
      </c>
      <c r="T12">
        <f t="shared" si="0"/>
        <v>0</v>
      </c>
    </row>
    <row r="13" spans="1:20">
      <c r="A13" t="s">
        <v>11</v>
      </c>
      <c r="B13" s="1">
        <v>35351</v>
      </c>
      <c r="N13" t="s">
        <v>181</v>
      </c>
      <c r="O13">
        <v>6</v>
      </c>
      <c r="P13" t="s">
        <v>181</v>
      </c>
      <c r="Q13">
        <v>6</v>
      </c>
      <c r="T13">
        <f t="shared" si="0"/>
        <v>0</v>
      </c>
    </row>
    <row r="14" spans="1:20">
      <c r="A14" t="s">
        <v>12</v>
      </c>
      <c r="B14">
        <v>63</v>
      </c>
      <c r="N14" t="s">
        <v>182</v>
      </c>
      <c r="O14">
        <v>2</v>
      </c>
      <c r="P14" t="s">
        <v>182</v>
      </c>
      <c r="Q14">
        <v>2</v>
      </c>
      <c r="T14">
        <f t="shared" si="0"/>
        <v>0</v>
      </c>
    </row>
    <row r="15" spans="1:20">
      <c r="A15" t="s">
        <v>13</v>
      </c>
      <c r="B15">
        <v>1</v>
      </c>
      <c r="N15" t="s">
        <v>183</v>
      </c>
      <c r="O15">
        <v>7</v>
      </c>
      <c r="P15" t="s">
        <v>183</v>
      </c>
      <c r="Q15">
        <v>7</v>
      </c>
      <c r="T15">
        <f t="shared" si="0"/>
        <v>0</v>
      </c>
    </row>
    <row r="16" spans="1:20">
      <c r="N16" t="s">
        <v>184</v>
      </c>
      <c r="O16">
        <v>24</v>
      </c>
      <c r="P16" t="s">
        <v>184</v>
      </c>
      <c r="Q16">
        <v>24</v>
      </c>
      <c r="T16">
        <f t="shared" si="0"/>
        <v>0</v>
      </c>
    </row>
    <row r="17" spans="1:20">
      <c r="N17" t="s">
        <v>185</v>
      </c>
      <c r="O17">
        <v>26</v>
      </c>
      <c r="P17" t="s">
        <v>185</v>
      </c>
      <c r="Q17">
        <v>27</v>
      </c>
      <c r="T17">
        <f t="shared" si="0"/>
        <v>-1</v>
      </c>
    </row>
    <row r="18" spans="1:20">
      <c r="A18" s="2" t="s">
        <v>0</v>
      </c>
      <c r="B18" s="2" t="s">
        <v>1</v>
      </c>
      <c r="N18" t="s">
        <v>186</v>
      </c>
      <c r="O18">
        <v>2</v>
      </c>
      <c r="P18" t="s">
        <v>186</v>
      </c>
      <c r="Q18">
        <v>3</v>
      </c>
      <c r="T18">
        <f t="shared" si="0"/>
        <v>-1</v>
      </c>
    </row>
    <row r="19" spans="1:20">
      <c r="A19" t="s">
        <v>168</v>
      </c>
      <c r="B19">
        <v>3</v>
      </c>
      <c r="N19" t="s">
        <v>187</v>
      </c>
      <c r="O19">
        <v>7</v>
      </c>
      <c r="P19" t="s">
        <v>187</v>
      </c>
      <c r="Q19">
        <v>7</v>
      </c>
      <c r="T19">
        <f t="shared" si="0"/>
        <v>0</v>
      </c>
    </row>
    <row r="20" spans="1:20">
      <c r="A20" t="s">
        <v>2</v>
      </c>
      <c r="B20">
        <v>275</v>
      </c>
      <c r="N20" t="s">
        <v>188</v>
      </c>
      <c r="O20">
        <v>7</v>
      </c>
      <c r="P20" t="s">
        <v>188</v>
      </c>
      <c r="Q20">
        <v>7</v>
      </c>
      <c r="T20">
        <f t="shared" si="0"/>
        <v>0</v>
      </c>
    </row>
    <row r="21" spans="1:20">
      <c r="A21" t="s">
        <v>3</v>
      </c>
      <c r="B21" s="1">
        <v>31931</v>
      </c>
      <c r="N21" t="s">
        <v>189</v>
      </c>
      <c r="O21">
        <v>9</v>
      </c>
      <c r="P21" t="s">
        <v>189</v>
      </c>
      <c r="Q21">
        <v>9</v>
      </c>
      <c r="T21">
        <f t="shared" si="0"/>
        <v>0</v>
      </c>
    </row>
    <row r="22" spans="1:20">
      <c r="A22" t="s">
        <v>4</v>
      </c>
      <c r="B22" s="1">
        <v>36186</v>
      </c>
      <c r="N22" t="s">
        <v>191</v>
      </c>
      <c r="O22">
        <v>12</v>
      </c>
      <c r="P22" t="s">
        <v>190</v>
      </c>
      <c r="Q22">
        <v>13</v>
      </c>
      <c r="T22">
        <f t="shared" si="0"/>
        <v>-1</v>
      </c>
    </row>
    <row r="23" spans="1:20">
      <c r="A23" t="s">
        <v>5</v>
      </c>
      <c r="B23">
        <v>9</v>
      </c>
      <c r="N23" t="s">
        <v>192</v>
      </c>
      <c r="O23">
        <v>14</v>
      </c>
      <c r="P23" t="s">
        <v>191</v>
      </c>
      <c r="Q23">
        <v>12</v>
      </c>
      <c r="T23">
        <f t="shared" si="0"/>
        <v>2</v>
      </c>
    </row>
    <row r="24" spans="1:20">
      <c r="A24" t="s">
        <v>6</v>
      </c>
      <c r="B24">
        <v>9</v>
      </c>
      <c r="N24" t="s">
        <v>190</v>
      </c>
      <c r="O24">
        <v>7</v>
      </c>
      <c r="P24" t="s">
        <v>192</v>
      </c>
      <c r="Q24">
        <v>14</v>
      </c>
      <c r="T24">
        <f t="shared" si="0"/>
        <v>-7</v>
      </c>
    </row>
    <row r="25" spans="1:20">
      <c r="A25" t="s">
        <v>7</v>
      </c>
      <c r="B25">
        <v>10</v>
      </c>
      <c r="N25" t="s">
        <v>193</v>
      </c>
      <c r="O25">
        <v>9</v>
      </c>
      <c r="P25" t="s">
        <v>193</v>
      </c>
      <c r="Q25">
        <v>11</v>
      </c>
      <c r="T25">
        <f t="shared" si="0"/>
        <v>-2</v>
      </c>
    </row>
    <row r="26" spans="1:20">
      <c r="A26" t="s">
        <v>8</v>
      </c>
      <c r="B26">
        <v>56</v>
      </c>
      <c r="N26" t="s">
        <v>194</v>
      </c>
      <c r="O26">
        <v>11</v>
      </c>
      <c r="P26" t="s">
        <v>194</v>
      </c>
      <c r="Q26">
        <v>11</v>
      </c>
      <c r="T26">
        <f t="shared" si="0"/>
        <v>0</v>
      </c>
    </row>
    <row r="27" spans="1:20">
      <c r="A27" t="s">
        <v>169</v>
      </c>
      <c r="B27">
        <v>1</v>
      </c>
      <c r="N27" t="s">
        <v>195</v>
      </c>
      <c r="O27">
        <v>5</v>
      </c>
      <c r="P27" t="s">
        <v>195</v>
      </c>
      <c r="Q27">
        <v>5</v>
      </c>
      <c r="T27">
        <f t="shared" si="0"/>
        <v>0</v>
      </c>
    </row>
    <row r="28" spans="1:20">
      <c r="A28" t="s">
        <v>9</v>
      </c>
      <c r="B28">
        <v>181</v>
      </c>
      <c r="N28" t="s">
        <v>196</v>
      </c>
      <c r="O28">
        <v>8</v>
      </c>
      <c r="P28" t="s">
        <v>196</v>
      </c>
      <c r="Q28">
        <v>8</v>
      </c>
      <c r="T28">
        <f t="shared" si="0"/>
        <v>0</v>
      </c>
    </row>
    <row r="29" spans="1:20">
      <c r="A29" t="s">
        <v>10</v>
      </c>
      <c r="B29" s="1">
        <v>19221</v>
      </c>
      <c r="N29" t="s">
        <v>197</v>
      </c>
      <c r="O29">
        <v>15</v>
      </c>
      <c r="P29" t="s">
        <v>197</v>
      </c>
      <c r="Q29">
        <v>15</v>
      </c>
      <c r="T29">
        <f t="shared" si="0"/>
        <v>0</v>
      </c>
    </row>
    <row r="30" spans="1:20">
      <c r="A30" t="s">
        <v>11</v>
      </c>
      <c r="B30" s="1">
        <v>35351</v>
      </c>
      <c r="N30" t="s">
        <v>198</v>
      </c>
      <c r="O30">
        <v>17</v>
      </c>
      <c r="P30" t="s">
        <v>198</v>
      </c>
      <c r="Q30">
        <v>17</v>
      </c>
      <c r="T30">
        <f t="shared" si="0"/>
        <v>0</v>
      </c>
    </row>
    <row r="31" spans="1:20">
      <c r="A31" t="s">
        <v>12</v>
      </c>
      <c r="B31">
        <v>63</v>
      </c>
      <c r="N31" t="s">
        <v>199</v>
      </c>
      <c r="O31">
        <v>2</v>
      </c>
      <c r="P31" t="s">
        <v>199</v>
      </c>
      <c r="Q31">
        <v>2</v>
      </c>
      <c r="T31">
        <f t="shared" si="0"/>
        <v>0</v>
      </c>
    </row>
    <row r="32" spans="1:20">
      <c r="A32" t="s">
        <v>13</v>
      </c>
      <c r="B32">
        <v>1</v>
      </c>
      <c r="N32" t="s">
        <v>200</v>
      </c>
      <c r="O32">
        <v>14</v>
      </c>
      <c r="P32" t="s">
        <v>200</v>
      </c>
      <c r="Q32">
        <v>14</v>
      </c>
      <c r="T32">
        <f t="shared" si="0"/>
        <v>0</v>
      </c>
    </row>
    <row r="33" spans="14:20">
      <c r="N33" t="s">
        <v>201</v>
      </c>
      <c r="O33">
        <v>16</v>
      </c>
      <c r="P33" t="s">
        <v>201</v>
      </c>
      <c r="Q33">
        <v>16</v>
      </c>
      <c r="T33">
        <f t="shared" si="0"/>
        <v>0</v>
      </c>
    </row>
    <row r="34" spans="14:20">
      <c r="N34" t="s">
        <v>203</v>
      </c>
      <c r="O34">
        <v>15</v>
      </c>
      <c r="P34" t="s">
        <v>202</v>
      </c>
      <c r="Q34">
        <v>9</v>
      </c>
      <c r="T34">
        <f t="shared" si="0"/>
        <v>6</v>
      </c>
    </row>
    <row r="35" spans="14:20">
      <c r="N35" t="s">
        <v>204</v>
      </c>
      <c r="O35">
        <v>17</v>
      </c>
      <c r="P35" t="s">
        <v>203</v>
      </c>
      <c r="Q35">
        <v>15</v>
      </c>
      <c r="T35">
        <f t="shared" si="0"/>
        <v>2</v>
      </c>
    </row>
    <row r="36" spans="14:20">
      <c r="N36" t="s">
        <v>205</v>
      </c>
      <c r="O36">
        <v>7</v>
      </c>
      <c r="P36" t="s">
        <v>204</v>
      </c>
      <c r="Q36">
        <v>17</v>
      </c>
      <c r="T36">
        <f t="shared" si="0"/>
        <v>-10</v>
      </c>
    </row>
    <row r="37" spans="14:20">
      <c r="N37" t="s">
        <v>202</v>
      </c>
      <c r="O37">
        <v>9</v>
      </c>
      <c r="P37" t="s">
        <v>205</v>
      </c>
      <c r="Q37">
        <v>7</v>
      </c>
      <c r="T37">
        <f t="shared" si="0"/>
        <v>2</v>
      </c>
    </row>
    <row r="38" spans="14:20">
      <c r="N38" t="s">
        <v>206</v>
      </c>
      <c r="O38">
        <v>27</v>
      </c>
      <c r="P38" t="s">
        <v>206</v>
      </c>
      <c r="Q38">
        <v>27</v>
      </c>
      <c r="T38">
        <f t="shared" si="0"/>
        <v>0</v>
      </c>
    </row>
    <row r="39" spans="14:20">
      <c r="N39" t="s">
        <v>207</v>
      </c>
      <c r="O39">
        <v>29</v>
      </c>
      <c r="P39" t="s">
        <v>207</v>
      </c>
      <c r="Q39">
        <v>29</v>
      </c>
      <c r="T39">
        <f t="shared" si="0"/>
        <v>0</v>
      </c>
    </row>
    <row r="40" spans="14:20">
      <c r="N40" t="s">
        <v>208</v>
      </c>
      <c r="O40">
        <v>13</v>
      </c>
      <c r="P40" t="s">
        <v>208</v>
      </c>
      <c r="Q40">
        <v>13</v>
      </c>
      <c r="T40">
        <f t="shared" si="0"/>
        <v>0</v>
      </c>
    </row>
    <row r="41" spans="14:20">
      <c r="N41" t="s">
        <v>209</v>
      </c>
      <c r="O41">
        <v>15</v>
      </c>
      <c r="P41" t="s">
        <v>209</v>
      </c>
      <c r="Q41">
        <v>15</v>
      </c>
      <c r="T41">
        <f t="shared" si="0"/>
        <v>0</v>
      </c>
    </row>
    <row r="42" spans="14:20">
      <c r="N42" t="s">
        <v>210</v>
      </c>
      <c r="O42">
        <v>3</v>
      </c>
      <c r="P42" t="s">
        <v>210</v>
      </c>
      <c r="Q42">
        <v>3</v>
      </c>
      <c r="T42">
        <f t="shared" si="0"/>
        <v>0</v>
      </c>
    </row>
    <row r="43" spans="14:20">
      <c r="N43" t="s">
        <v>211</v>
      </c>
      <c r="O43">
        <v>3</v>
      </c>
      <c r="P43" t="s">
        <v>211</v>
      </c>
      <c r="Q43">
        <v>3</v>
      </c>
      <c r="T43">
        <f t="shared" si="0"/>
        <v>0</v>
      </c>
    </row>
    <row r="44" spans="14:20">
      <c r="N44" t="s">
        <v>212</v>
      </c>
      <c r="O44">
        <v>10</v>
      </c>
      <c r="P44" t="s">
        <v>212</v>
      </c>
      <c r="Q44">
        <v>9</v>
      </c>
      <c r="T44">
        <f t="shared" si="0"/>
        <v>1</v>
      </c>
    </row>
    <row r="45" spans="14:20">
      <c r="N45" t="s">
        <v>213</v>
      </c>
      <c r="O45">
        <v>9</v>
      </c>
      <c r="P45" t="s">
        <v>213</v>
      </c>
      <c r="Q45">
        <v>10</v>
      </c>
      <c r="T45">
        <f t="shared" si="0"/>
        <v>-1</v>
      </c>
    </row>
    <row r="46" spans="14:20">
      <c r="N46" t="s">
        <v>214</v>
      </c>
      <c r="O46">
        <v>11</v>
      </c>
      <c r="P46" t="s">
        <v>214</v>
      </c>
      <c r="Q46">
        <v>11</v>
      </c>
      <c r="T46">
        <f t="shared" si="0"/>
        <v>0</v>
      </c>
    </row>
    <row r="47" spans="14:20">
      <c r="N47" t="s">
        <v>215</v>
      </c>
      <c r="O47">
        <v>17</v>
      </c>
      <c r="P47" t="s">
        <v>215</v>
      </c>
      <c r="Q47">
        <v>17</v>
      </c>
      <c r="T47">
        <f t="shared" si="0"/>
        <v>0</v>
      </c>
    </row>
    <row r="48" spans="14:20">
      <c r="N48" t="s">
        <v>216</v>
      </c>
      <c r="O48">
        <v>8</v>
      </c>
      <c r="P48" t="s">
        <v>216</v>
      </c>
      <c r="Q48">
        <v>8</v>
      </c>
      <c r="T48">
        <f t="shared" si="0"/>
        <v>0</v>
      </c>
    </row>
    <row r="49" spans="14:20">
      <c r="N49" t="s">
        <v>217</v>
      </c>
      <c r="O49">
        <v>7</v>
      </c>
      <c r="P49" t="s">
        <v>217</v>
      </c>
      <c r="Q49">
        <v>8</v>
      </c>
      <c r="T49">
        <f t="shared" si="0"/>
        <v>-1</v>
      </c>
    </row>
    <row r="50" spans="14:20">
      <c r="N50" t="s">
        <v>218</v>
      </c>
      <c r="O50">
        <v>9</v>
      </c>
      <c r="P50" t="s">
        <v>218</v>
      </c>
      <c r="Q50">
        <v>9</v>
      </c>
      <c r="T50">
        <f t="shared" si="0"/>
        <v>0</v>
      </c>
    </row>
    <row r="51" spans="14:20">
      <c r="N51" t="s">
        <v>219</v>
      </c>
      <c r="O51">
        <v>12</v>
      </c>
      <c r="P51" t="s">
        <v>219</v>
      </c>
      <c r="Q51">
        <v>13</v>
      </c>
      <c r="T51">
        <f t="shared" si="0"/>
        <v>-1</v>
      </c>
    </row>
    <row r="52" spans="14:20">
      <c r="N52" t="s">
        <v>220</v>
      </c>
      <c r="O52">
        <v>14</v>
      </c>
      <c r="P52" t="s">
        <v>220</v>
      </c>
      <c r="Q52">
        <v>14</v>
      </c>
      <c r="T52">
        <f t="shared" si="0"/>
        <v>0</v>
      </c>
    </row>
    <row r="53" spans="14:20">
      <c r="N53" t="s">
        <v>221</v>
      </c>
      <c r="O53">
        <v>13</v>
      </c>
      <c r="P53" t="s">
        <v>221</v>
      </c>
      <c r="Q53">
        <v>14</v>
      </c>
      <c r="T53">
        <f t="shared" si="0"/>
        <v>-1</v>
      </c>
    </row>
    <row r="54" spans="14:20">
      <c r="N54" t="s">
        <v>222</v>
      </c>
      <c r="O54">
        <v>43</v>
      </c>
      <c r="P54" t="s">
        <v>222</v>
      </c>
      <c r="Q54">
        <v>43</v>
      </c>
      <c r="T54">
        <f t="shared" si="0"/>
        <v>0</v>
      </c>
    </row>
    <row r="55" spans="14:20">
      <c r="N55" t="s">
        <v>223</v>
      </c>
      <c r="O55">
        <v>45</v>
      </c>
      <c r="P55" t="s">
        <v>223</v>
      </c>
      <c r="Q55">
        <v>45</v>
      </c>
      <c r="T55">
        <f t="shared" si="0"/>
        <v>0</v>
      </c>
    </row>
    <row r="56" spans="14:20">
      <c r="N56" t="s">
        <v>224</v>
      </c>
      <c r="O56">
        <v>23</v>
      </c>
      <c r="P56" t="s">
        <v>224</v>
      </c>
      <c r="Q56">
        <v>23</v>
      </c>
      <c r="T56">
        <f t="shared" si="0"/>
        <v>0</v>
      </c>
    </row>
    <row r="57" spans="14:20">
      <c r="N57" t="s">
        <v>225</v>
      </c>
      <c r="O57">
        <v>25</v>
      </c>
      <c r="P57" t="s">
        <v>225</v>
      </c>
      <c r="Q57">
        <v>25</v>
      </c>
      <c r="T57">
        <f t="shared" si="0"/>
        <v>0</v>
      </c>
    </row>
    <row r="58" spans="14:20">
      <c r="N58" t="s">
        <v>226</v>
      </c>
      <c r="O58">
        <v>9</v>
      </c>
      <c r="P58" t="s">
        <v>226</v>
      </c>
      <c r="Q58">
        <v>9</v>
      </c>
      <c r="T58">
        <f t="shared" si="0"/>
        <v>0</v>
      </c>
    </row>
    <row r="59" spans="14:20">
      <c r="N59" t="s">
        <v>227</v>
      </c>
      <c r="O59">
        <v>11</v>
      </c>
      <c r="P59" t="s">
        <v>227</v>
      </c>
      <c r="Q59">
        <v>11</v>
      </c>
      <c r="T59">
        <f t="shared" si="0"/>
        <v>0</v>
      </c>
    </row>
    <row r="60" spans="14:20">
      <c r="N60" t="s">
        <v>228</v>
      </c>
      <c r="O60">
        <v>8</v>
      </c>
      <c r="P60" t="s">
        <v>228</v>
      </c>
      <c r="Q60">
        <v>8</v>
      </c>
      <c r="T60">
        <f t="shared" si="0"/>
        <v>0</v>
      </c>
    </row>
    <row r="61" spans="14:20">
      <c r="N61" t="s">
        <v>229</v>
      </c>
      <c r="O61">
        <v>10</v>
      </c>
      <c r="P61" t="s">
        <v>229</v>
      </c>
      <c r="Q61">
        <v>10</v>
      </c>
      <c r="T61">
        <f t="shared" si="0"/>
        <v>0</v>
      </c>
    </row>
    <row r="62" spans="14:20">
      <c r="N62" t="s">
        <v>230</v>
      </c>
      <c r="O62">
        <v>8</v>
      </c>
      <c r="P62" t="s">
        <v>230</v>
      </c>
      <c r="Q62">
        <v>8</v>
      </c>
      <c r="T62">
        <f t="shared" si="0"/>
        <v>0</v>
      </c>
    </row>
    <row r="63" spans="14:20">
      <c r="N63" t="s">
        <v>231</v>
      </c>
      <c r="O63">
        <v>9</v>
      </c>
      <c r="P63" t="s">
        <v>231</v>
      </c>
      <c r="Q63">
        <v>9</v>
      </c>
      <c r="T63">
        <f t="shared" si="0"/>
        <v>0</v>
      </c>
    </row>
    <row r="64" spans="14:20">
      <c r="N64" t="s">
        <v>232</v>
      </c>
      <c r="O64">
        <v>11</v>
      </c>
      <c r="P64" t="s">
        <v>232</v>
      </c>
      <c r="Q64">
        <v>11</v>
      </c>
      <c r="T64">
        <f t="shared" si="0"/>
        <v>0</v>
      </c>
    </row>
    <row r="65" spans="14:20">
      <c r="N65" t="s">
        <v>235</v>
      </c>
      <c r="O65">
        <v>33</v>
      </c>
      <c r="P65" t="s">
        <v>235</v>
      </c>
      <c r="Q65">
        <v>33</v>
      </c>
      <c r="T65">
        <f t="shared" si="0"/>
        <v>0</v>
      </c>
    </row>
    <row r="66" spans="14:20">
      <c r="N66" t="s">
        <v>236</v>
      </c>
      <c r="O66">
        <v>35</v>
      </c>
      <c r="P66" t="s">
        <v>236</v>
      </c>
      <c r="Q66">
        <v>35</v>
      </c>
      <c r="T66">
        <f t="shared" si="0"/>
        <v>0</v>
      </c>
    </row>
    <row r="67" spans="14:20">
      <c r="N67" t="s">
        <v>237</v>
      </c>
      <c r="O67">
        <v>171</v>
      </c>
      <c r="P67" t="s">
        <v>237</v>
      </c>
      <c r="Q67">
        <v>168</v>
      </c>
      <c r="T67">
        <f t="shared" ref="T67:T130" si="1">O67-Q67</f>
        <v>3</v>
      </c>
    </row>
    <row r="68" spans="14:20">
      <c r="N68" t="s">
        <v>239</v>
      </c>
      <c r="O68">
        <v>15</v>
      </c>
      <c r="P68" t="s">
        <v>239</v>
      </c>
      <c r="Q68">
        <v>15</v>
      </c>
      <c r="T68">
        <f t="shared" si="1"/>
        <v>0</v>
      </c>
    </row>
    <row r="69" spans="14:20">
      <c r="N69" t="s">
        <v>240</v>
      </c>
      <c r="O69">
        <v>17</v>
      </c>
      <c r="P69" t="s">
        <v>240</v>
      </c>
      <c r="Q69">
        <v>17</v>
      </c>
      <c r="R69" t="s">
        <v>238</v>
      </c>
      <c r="S69">
        <v>6</v>
      </c>
      <c r="T69">
        <f t="shared" si="1"/>
        <v>0</v>
      </c>
    </row>
    <row r="70" spans="14:20">
      <c r="N70" t="s">
        <v>241</v>
      </c>
      <c r="O70">
        <v>172</v>
      </c>
      <c r="P70" t="s">
        <v>241</v>
      </c>
      <c r="Q70">
        <v>66</v>
      </c>
      <c r="T70">
        <f t="shared" si="1"/>
        <v>106</v>
      </c>
    </row>
    <row r="71" spans="14:20">
      <c r="N71" t="s">
        <v>242</v>
      </c>
      <c r="O71">
        <v>23</v>
      </c>
      <c r="P71" t="s">
        <v>242</v>
      </c>
      <c r="Q71">
        <v>23</v>
      </c>
      <c r="T71">
        <f t="shared" si="1"/>
        <v>0</v>
      </c>
    </row>
    <row r="72" spans="14:20">
      <c r="N72" t="s">
        <v>243</v>
      </c>
      <c r="O72">
        <v>25</v>
      </c>
      <c r="P72" t="s">
        <v>243</v>
      </c>
      <c r="Q72">
        <v>25</v>
      </c>
      <c r="T72">
        <f t="shared" si="1"/>
        <v>0</v>
      </c>
    </row>
    <row r="73" spans="14:20">
      <c r="N73" t="s">
        <v>244</v>
      </c>
      <c r="O73">
        <v>25</v>
      </c>
      <c r="P73" t="s">
        <v>244</v>
      </c>
      <c r="Q73">
        <v>25</v>
      </c>
      <c r="T73">
        <f t="shared" si="1"/>
        <v>0</v>
      </c>
    </row>
    <row r="74" spans="14:20">
      <c r="N74" t="s">
        <v>245</v>
      </c>
      <c r="O74">
        <v>22</v>
      </c>
      <c r="P74" t="s">
        <v>245</v>
      </c>
      <c r="Q74">
        <v>22</v>
      </c>
      <c r="T74">
        <f t="shared" si="1"/>
        <v>0</v>
      </c>
    </row>
    <row r="75" spans="14:20">
      <c r="N75" t="s">
        <v>246</v>
      </c>
      <c r="O75">
        <v>24</v>
      </c>
      <c r="P75" t="s">
        <v>246</v>
      </c>
      <c r="Q75">
        <v>24</v>
      </c>
      <c r="T75">
        <f t="shared" si="1"/>
        <v>0</v>
      </c>
    </row>
    <row r="76" spans="14:20">
      <c r="N76" t="s">
        <v>247</v>
      </c>
      <c r="O76">
        <v>13</v>
      </c>
      <c r="P76" t="s">
        <v>247</v>
      </c>
      <c r="Q76">
        <v>13</v>
      </c>
      <c r="T76">
        <f t="shared" si="1"/>
        <v>0</v>
      </c>
    </row>
    <row r="77" spans="14:20">
      <c r="N77" t="s">
        <v>250</v>
      </c>
      <c r="O77">
        <v>13</v>
      </c>
      <c r="P77" t="s">
        <v>248</v>
      </c>
      <c r="Q77">
        <v>15</v>
      </c>
      <c r="T77">
        <f t="shared" si="1"/>
        <v>-2</v>
      </c>
    </row>
    <row r="78" spans="14:20">
      <c r="N78" t="s">
        <v>248</v>
      </c>
      <c r="O78">
        <v>15</v>
      </c>
      <c r="P78" t="s">
        <v>249</v>
      </c>
      <c r="Q78">
        <v>15</v>
      </c>
      <c r="T78">
        <f t="shared" si="1"/>
        <v>0</v>
      </c>
    </row>
    <row r="79" spans="14:20">
      <c r="N79" t="s">
        <v>249</v>
      </c>
      <c r="O79">
        <v>15</v>
      </c>
      <c r="P79" t="s">
        <v>250</v>
      </c>
      <c r="Q79">
        <v>13</v>
      </c>
      <c r="T79">
        <f t="shared" si="1"/>
        <v>2</v>
      </c>
    </row>
    <row r="80" spans="14:20">
      <c r="N80" t="s">
        <v>251</v>
      </c>
      <c r="O80">
        <v>13</v>
      </c>
      <c r="P80" t="s">
        <v>251</v>
      </c>
      <c r="Q80">
        <v>13</v>
      </c>
      <c r="T80">
        <f t="shared" si="1"/>
        <v>0</v>
      </c>
    </row>
    <row r="81" spans="14:20">
      <c r="N81" t="s">
        <v>252</v>
      </c>
      <c r="O81">
        <v>15</v>
      </c>
      <c r="P81" t="s">
        <v>252</v>
      </c>
      <c r="Q81">
        <v>15</v>
      </c>
      <c r="T81">
        <f t="shared" si="1"/>
        <v>0</v>
      </c>
    </row>
    <row r="82" spans="14:20">
      <c r="N82" t="s">
        <v>253</v>
      </c>
      <c r="O82">
        <v>3</v>
      </c>
      <c r="P82" t="s">
        <v>253</v>
      </c>
      <c r="Q82">
        <v>3</v>
      </c>
      <c r="T82">
        <f t="shared" si="1"/>
        <v>0</v>
      </c>
    </row>
    <row r="83" spans="14:20">
      <c r="N83" t="s">
        <v>254</v>
      </c>
      <c r="O83">
        <v>14</v>
      </c>
      <c r="P83" t="s">
        <v>254</v>
      </c>
      <c r="Q83">
        <v>15</v>
      </c>
      <c r="T83">
        <f t="shared" si="1"/>
        <v>-1</v>
      </c>
    </row>
    <row r="84" spans="14:20">
      <c r="N84" t="s">
        <v>255</v>
      </c>
      <c r="O84">
        <v>16</v>
      </c>
      <c r="P84" t="s">
        <v>255</v>
      </c>
      <c r="Q84">
        <v>16</v>
      </c>
      <c r="T84">
        <f t="shared" si="1"/>
        <v>0</v>
      </c>
    </row>
    <row r="85" spans="14:20">
      <c r="N85" t="s">
        <v>256</v>
      </c>
      <c r="O85">
        <v>24</v>
      </c>
      <c r="P85" t="s">
        <v>256</v>
      </c>
      <c r="Q85">
        <v>24</v>
      </c>
      <c r="T85">
        <f t="shared" si="1"/>
        <v>0</v>
      </c>
    </row>
    <row r="86" spans="14:20">
      <c r="N86" t="s">
        <v>257</v>
      </c>
      <c r="O86">
        <v>26</v>
      </c>
      <c r="P86" t="s">
        <v>257</v>
      </c>
      <c r="Q86">
        <v>26</v>
      </c>
      <c r="T86">
        <f t="shared" si="1"/>
        <v>0</v>
      </c>
    </row>
    <row r="87" spans="14:20">
      <c r="N87" t="s">
        <v>258</v>
      </c>
      <c r="O87">
        <v>10</v>
      </c>
      <c r="P87" t="s">
        <v>258</v>
      </c>
      <c r="Q87">
        <v>10</v>
      </c>
      <c r="T87">
        <f t="shared" si="1"/>
        <v>0</v>
      </c>
    </row>
    <row r="88" spans="14:20">
      <c r="N88" t="s">
        <v>259</v>
      </c>
      <c r="O88">
        <v>12</v>
      </c>
      <c r="P88" t="s">
        <v>259</v>
      </c>
      <c r="Q88">
        <v>12</v>
      </c>
      <c r="R88" t="s">
        <v>260</v>
      </c>
      <c r="S88">
        <v>15</v>
      </c>
      <c r="T88">
        <f t="shared" si="1"/>
        <v>0</v>
      </c>
    </row>
    <row r="89" spans="14:20">
      <c r="N89" t="s">
        <v>261</v>
      </c>
      <c r="O89">
        <v>11</v>
      </c>
      <c r="P89" t="s">
        <v>261</v>
      </c>
      <c r="Q89">
        <v>11</v>
      </c>
      <c r="T89">
        <f t="shared" si="1"/>
        <v>0</v>
      </c>
    </row>
    <row r="90" spans="14:20">
      <c r="N90" t="s">
        <v>262</v>
      </c>
      <c r="O90">
        <v>13</v>
      </c>
      <c r="P90" t="s">
        <v>262</v>
      </c>
      <c r="Q90">
        <v>13</v>
      </c>
      <c r="T90">
        <f t="shared" si="1"/>
        <v>0</v>
      </c>
    </row>
    <row r="91" spans="14:20">
      <c r="N91" t="s">
        <v>263</v>
      </c>
      <c r="O91">
        <v>13</v>
      </c>
      <c r="P91" t="s">
        <v>263</v>
      </c>
      <c r="Q91">
        <v>13</v>
      </c>
      <c r="T91">
        <f t="shared" si="1"/>
        <v>0</v>
      </c>
    </row>
    <row r="92" spans="14:20">
      <c r="N92" t="s">
        <v>264</v>
      </c>
      <c r="O92">
        <v>5</v>
      </c>
      <c r="P92" t="s">
        <v>264</v>
      </c>
      <c r="Q92">
        <v>5</v>
      </c>
      <c r="T92">
        <f t="shared" si="1"/>
        <v>0</v>
      </c>
    </row>
    <row r="93" spans="14:20">
      <c r="N93" t="s">
        <v>265</v>
      </c>
      <c r="O93">
        <v>8</v>
      </c>
      <c r="P93" t="s">
        <v>265</v>
      </c>
      <c r="Q93">
        <v>8</v>
      </c>
      <c r="T93">
        <f t="shared" si="1"/>
        <v>0</v>
      </c>
    </row>
    <row r="94" spans="14:20">
      <c r="N94" t="s">
        <v>266</v>
      </c>
      <c r="O94">
        <v>8</v>
      </c>
      <c r="P94" t="s">
        <v>266</v>
      </c>
      <c r="Q94">
        <v>8</v>
      </c>
      <c r="T94">
        <f t="shared" si="1"/>
        <v>0</v>
      </c>
    </row>
    <row r="95" spans="14:20">
      <c r="N95" t="s">
        <v>267</v>
      </c>
      <c r="O95">
        <v>3</v>
      </c>
      <c r="P95" t="s">
        <v>267</v>
      </c>
      <c r="Q95">
        <v>3</v>
      </c>
      <c r="T95">
        <f t="shared" si="1"/>
        <v>0</v>
      </c>
    </row>
    <row r="96" spans="14:20">
      <c r="N96" t="s">
        <v>268</v>
      </c>
      <c r="O96">
        <v>25</v>
      </c>
      <c r="P96" t="s">
        <v>268</v>
      </c>
      <c r="Q96">
        <v>25</v>
      </c>
      <c r="T96">
        <f t="shared" si="1"/>
        <v>0</v>
      </c>
    </row>
    <row r="97" spans="14:20">
      <c r="N97" t="s">
        <v>269</v>
      </c>
      <c r="O97">
        <v>27</v>
      </c>
      <c r="P97" t="s">
        <v>269</v>
      </c>
      <c r="Q97">
        <v>27</v>
      </c>
      <c r="T97">
        <f t="shared" si="1"/>
        <v>0</v>
      </c>
    </row>
    <row r="98" spans="14:20">
      <c r="N98" t="s">
        <v>270</v>
      </c>
      <c r="O98">
        <v>5</v>
      </c>
      <c r="P98" t="s">
        <v>270</v>
      </c>
      <c r="Q98">
        <v>5</v>
      </c>
      <c r="T98">
        <f t="shared" si="1"/>
        <v>0</v>
      </c>
    </row>
    <row r="99" spans="14:20">
      <c r="N99" t="s">
        <v>271</v>
      </c>
      <c r="O99">
        <v>22</v>
      </c>
      <c r="P99" t="s">
        <v>271</v>
      </c>
      <c r="Q99">
        <v>22</v>
      </c>
      <c r="T99">
        <f t="shared" si="1"/>
        <v>0</v>
      </c>
    </row>
    <row r="100" spans="14:20">
      <c r="N100" t="s">
        <v>272</v>
      </c>
      <c r="O100">
        <v>24</v>
      </c>
      <c r="P100" t="s">
        <v>272</v>
      </c>
      <c r="Q100">
        <v>24</v>
      </c>
      <c r="T100">
        <f t="shared" si="1"/>
        <v>0</v>
      </c>
    </row>
    <row r="101" spans="14:20">
      <c r="N101" t="s">
        <v>233</v>
      </c>
      <c r="O101">
        <v>21</v>
      </c>
      <c r="P101" t="s">
        <v>233</v>
      </c>
      <c r="Q101">
        <v>21</v>
      </c>
      <c r="T101">
        <f t="shared" si="1"/>
        <v>0</v>
      </c>
    </row>
    <row r="102" spans="14:20">
      <c r="N102" t="s">
        <v>234</v>
      </c>
      <c r="O102">
        <v>23</v>
      </c>
      <c r="P102" t="s">
        <v>234</v>
      </c>
      <c r="Q102">
        <v>23</v>
      </c>
      <c r="T102">
        <f t="shared" si="1"/>
        <v>0</v>
      </c>
    </row>
    <row r="103" spans="14:20">
      <c r="N103" t="s">
        <v>65</v>
      </c>
      <c r="O103">
        <v>4</v>
      </c>
      <c r="P103" t="s">
        <v>65</v>
      </c>
      <c r="Q103">
        <v>4</v>
      </c>
      <c r="T103">
        <f t="shared" si="1"/>
        <v>0</v>
      </c>
    </row>
    <row r="104" spans="14:20">
      <c r="N104" t="s">
        <v>66</v>
      </c>
      <c r="O104">
        <v>3</v>
      </c>
      <c r="P104" t="s">
        <v>66</v>
      </c>
      <c r="Q104">
        <v>3</v>
      </c>
      <c r="T104">
        <f t="shared" si="1"/>
        <v>0</v>
      </c>
    </row>
    <row r="105" spans="14:20">
      <c r="N105" t="s">
        <v>67</v>
      </c>
      <c r="O105">
        <v>3</v>
      </c>
      <c r="P105" t="s">
        <v>67</v>
      </c>
      <c r="Q105">
        <v>3</v>
      </c>
      <c r="T105">
        <f t="shared" si="1"/>
        <v>0</v>
      </c>
    </row>
    <row r="106" spans="14:20">
      <c r="N106" t="s">
        <v>68</v>
      </c>
      <c r="O106">
        <v>3</v>
      </c>
      <c r="P106" t="s">
        <v>68</v>
      </c>
      <c r="Q106">
        <v>3</v>
      </c>
      <c r="T106">
        <f t="shared" si="1"/>
        <v>0</v>
      </c>
    </row>
    <row r="107" spans="14:20">
      <c r="N107" t="s">
        <v>69</v>
      </c>
      <c r="O107">
        <v>3</v>
      </c>
      <c r="P107" t="s">
        <v>69</v>
      </c>
      <c r="Q107">
        <v>3</v>
      </c>
      <c r="T107">
        <f t="shared" si="1"/>
        <v>0</v>
      </c>
    </row>
    <row r="108" spans="14:20">
      <c r="N108" t="s">
        <v>70</v>
      </c>
      <c r="O108">
        <v>4</v>
      </c>
      <c r="P108" t="s">
        <v>70</v>
      </c>
      <c r="Q108">
        <v>4</v>
      </c>
      <c r="T108">
        <f t="shared" si="1"/>
        <v>0</v>
      </c>
    </row>
    <row r="109" spans="14:20">
      <c r="N109" t="s">
        <v>71</v>
      </c>
      <c r="O109">
        <v>5</v>
      </c>
      <c r="P109" t="s">
        <v>71</v>
      </c>
      <c r="Q109">
        <v>5</v>
      </c>
      <c r="T109">
        <f t="shared" si="1"/>
        <v>0</v>
      </c>
    </row>
    <row r="110" spans="14:20">
      <c r="N110" t="s">
        <v>72</v>
      </c>
      <c r="O110">
        <v>6</v>
      </c>
      <c r="P110" t="s">
        <v>72</v>
      </c>
      <c r="Q110">
        <v>6</v>
      </c>
      <c r="T110">
        <f t="shared" si="1"/>
        <v>0</v>
      </c>
    </row>
    <row r="111" spans="14:20">
      <c r="N111" t="s">
        <v>73</v>
      </c>
      <c r="O111">
        <v>4</v>
      </c>
      <c r="P111" t="s">
        <v>73</v>
      </c>
      <c r="Q111">
        <v>4</v>
      </c>
      <c r="T111">
        <f t="shared" si="1"/>
        <v>0</v>
      </c>
    </row>
    <row r="112" spans="14:20">
      <c r="N112" t="s">
        <v>74</v>
      </c>
      <c r="O112">
        <v>6</v>
      </c>
      <c r="P112" t="s">
        <v>74</v>
      </c>
      <c r="Q112">
        <v>6</v>
      </c>
      <c r="T112">
        <f t="shared" si="1"/>
        <v>0</v>
      </c>
    </row>
    <row r="113" spans="14:20">
      <c r="N113" t="s">
        <v>75</v>
      </c>
      <c r="O113">
        <v>9</v>
      </c>
      <c r="P113" t="s">
        <v>75</v>
      </c>
      <c r="Q113">
        <v>9</v>
      </c>
      <c r="T113">
        <f t="shared" si="1"/>
        <v>0</v>
      </c>
    </row>
    <row r="114" spans="14:20">
      <c r="N114" t="s">
        <v>76</v>
      </c>
      <c r="O114">
        <v>3</v>
      </c>
      <c r="P114" t="s">
        <v>76</v>
      </c>
      <c r="Q114">
        <v>3</v>
      </c>
      <c r="T114">
        <f t="shared" si="1"/>
        <v>0</v>
      </c>
    </row>
    <row r="115" spans="14:20">
      <c r="N115" t="s">
        <v>77</v>
      </c>
      <c r="O115">
        <v>7</v>
      </c>
      <c r="P115" t="s">
        <v>77</v>
      </c>
      <c r="Q115">
        <v>7</v>
      </c>
      <c r="T115">
        <f t="shared" si="1"/>
        <v>0</v>
      </c>
    </row>
    <row r="116" spans="14:20">
      <c r="N116" t="s">
        <v>78</v>
      </c>
      <c r="O116">
        <v>7</v>
      </c>
      <c r="P116" t="s">
        <v>78</v>
      </c>
      <c r="Q116">
        <v>7</v>
      </c>
      <c r="T116">
        <f t="shared" si="1"/>
        <v>0</v>
      </c>
    </row>
    <row r="117" spans="14:20">
      <c r="N117" t="s">
        <v>79</v>
      </c>
      <c r="O117">
        <v>5</v>
      </c>
      <c r="P117" t="s">
        <v>79</v>
      </c>
      <c r="Q117">
        <v>5</v>
      </c>
      <c r="T117">
        <f t="shared" si="1"/>
        <v>0</v>
      </c>
    </row>
    <row r="118" spans="14:20">
      <c r="N118" t="s">
        <v>80</v>
      </c>
      <c r="O118">
        <v>4</v>
      </c>
      <c r="P118" t="s">
        <v>80</v>
      </c>
      <c r="Q118">
        <v>4</v>
      </c>
      <c r="T118">
        <f t="shared" si="1"/>
        <v>0</v>
      </c>
    </row>
    <row r="119" spans="14:20">
      <c r="N119" t="s">
        <v>81</v>
      </c>
      <c r="O119">
        <v>6</v>
      </c>
      <c r="P119" t="s">
        <v>81</v>
      </c>
      <c r="Q119">
        <v>6</v>
      </c>
      <c r="T119">
        <f t="shared" si="1"/>
        <v>0</v>
      </c>
    </row>
    <row r="120" spans="14:20">
      <c r="N120" t="s">
        <v>82</v>
      </c>
      <c r="O120">
        <v>4</v>
      </c>
      <c r="P120" t="s">
        <v>82</v>
      </c>
      <c r="Q120">
        <v>4</v>
      </c>
      <c r="T120">
        <f t="shared" si="1"/>
        <v>0</v>
      </c>
    </row>
    <row r="121" spans="14:20">
      <c r="N121" t="s">
        <v>83</v>
      </c>
      <c r="O121">
        <v>7</v>
      </c>
      <c r="P121" t="s">
        <v>83</v>
      </c>
      <c r="Q121">
        <v>7</v>
      </c>
      <c r="T121">
        <f t="shared" si="1"/>
        <v>0</v>
      </c>
    </row>
    <row r="122" spans="14:20">
      <c r="N122" t="s">
        <v>273</v>
      </c>
      <c r="O122">
        <v>1</v>
      </c>
      <c r="P122" t="s">
        <v>273</v>
      </c>
      <c r="Q122">
        <v>1</v>
      </c>
      <c r="T122">
        <f t="shared" si="1"/>
        <v>0</v>
      </c>
    </row>
    <row r="123" spans="14:20">
      <c r="N123" t="s">
        <v>274</v>
      </c>
      <c r="O123">
        <v>27</v>
      </c>
      <c r="P123" t="s">
        <v>274</v>
      </c>
      <c r="Q123">
        <v>27</v>
      </c>
      <c r="T123">
        <f t="shared" si="1"/>
        <v>0</v>
      </c>
    </row>
    <row r="124" spans="14:20">
      <c r="N124" t="s">
        <v>275</v>
      </c>
      <c r="O124">
        <v>29</v>
      </c>
      <c r="P124" t="s">
        <v>275</v>
      </c>
      <c r="Q124">
        <v>29</v>
      </c>
      <c r="T124">
        <f t="shared" si="1"/>
        <v>0</v>
      </c>
    </row>
    <row r="125" spans="14:20">
      <c r="N125" t="s">
        <v>276</v>
      </c>
      <c r="O125">
        <v>18</v>
      </c>
      <c r="P125" t="s">
        <v>276</v>
      </c>
      <c r="Q125">
        <v>18</v>
      </c>
      <c r="T125">
        <f t="shared" si="1"/>
        <v>0</v>
      </c>
    </row>
    <row r="126" spans="14:20">
      <c r="N126" t="s">
        <v>277</v>
      </c>
      <c r="O126">
        <v>20</v>
      </c>
      <c r="P126" t="s">
        <v>277</v>
      </c>
      <c r="Q126">
        <v>20</v>
      </c>
      <c r="T126">
        <f t="shared" si="1"/>
        <v>0</v>
      </c>
    </row>
    <row r="127" spans="14:20">
      <c r="N127" t="s">
        <v>278</v>
      </c>
      <c r="O127">
        <v>19</v>
      </c>
      <c r="P127" t="s">
        <v>278</v>
      </c>
      <c r="Q127">
        <v>19</v>
      </c>
      <c r="T127">
        <f t="shared" si="1"/>
        <v>0</v>
      </c>
    </row>
    <row r="128" spans="14:20">
      <c r="N128" t="s">
        <v>279</v>
      </c>
      <c r="O128">
        <v>2</v>
      </c>
      <c r="P128" t="s">
        <v>279</v>
      </c>
      <c r="Q128">
        <v>2</v>
      </c>
      <c r="T128">
        <f t="shared" si="1"/>
        <v>0</v>
      </c>
    </row>
    <row r="129" spans="14:20">
      <c r="N129" t="s">
        <v>92</v>
      </c>
      <c r="O129">
        <v>3</v>
      </c>
      <c r="P129" t="s">
        <v>92</v>
      </c>
      <c r="Q129">
        <v>3</v>
      </c>
      <c r="T129">
        <f t="shared" si="1"/>
        <v>0</v>
      </c>
    </row>
    <row r="130" spans="14:20">
      <c r="N130" t="s">
        <v>93</v>
      </c>
      <c r="O130">
        <v>4</v>
      </c>
      <c r="P130" t="s">
        <v>93</v>
      </c>
      <c r="Q130">
        <v>4</v>
      </c>
      <c r="T130">
        <f t="shared" si="1"/>
        <v>0</v>
      </c>
    </row>
    <row r="131" spans="14:20">
      <c r="N131" t="s">
        <v>280</v>
      </c>
      <c r="O131">
        <v>10</v>
      </c>
      <c r="P131" t="s">
        <v>280</v>
      </c>
      <c r="Q131">
        <v>10</v>
      </c>
      <c r="T131">
        <f t="shared" ref="T131:T182" si="2">O131-Q131</f>
        <v>0</v>
      </c>
    </row>
    <row r="132" spans="14:20">
      <c r="N132" t="s">
        <v>281</v>
      </c>
      <c r="O132">
        <v>10</v>
      </c>
      <c r="P132" t="s">
        <v>281</v>
      </c>
      <c r="Q132">
        <v>10</v>
      </c>
      <c r="T132">
        <f t="shared" si="2"/>
        <v>0</v>
      </c>
    </row>
    <row r="133" spans="14:20">
      <c r="N133" t="s">
        <v>282</v>
      </c>
      <c r="O133">
        <v>5</v>
      </c>
      <c r="P133" t="s">
        <v>282</v>
      </c>
      <c r="Q133">
        <v>5</v>
      </c>
      <c r="T133">
        <f t="shared" si="2"/>
        <v>0</v>
      </c>
    </row>
    <row r="134" spans="14:20">
      <c r="N134" t="s">
        <v>283</v>
      </c>
      <c r="O134">
        <v>10</v>
      </c>
      <c r="P134" t="s">
        <v>283</v>
      </c>
      <c r="Q134">
        <v>10</v>
      </c>
      <c r="T134">
        <f t="shared" si="2"/>
        <v>0</v>
      </c>
    </row>
    <row r="135" spans="14:20">
      <c r="N135" t="s">
        <v>284</v>
      </c>
      <c r="O135">
        <v>10</v>
      </c>
      <c r="P135" t="s">
        <v>284</v>
      </c>
      <c r="Q135">
        <v>10</v>
      </c>
      <c r="T135">
        <f t="shared" si="2"/>
        <v>0</v>
      </c>
    </row>
    <row r="136" spans="14:20">
      <c r="N136" t="s">
        <v>285</v>
      </c>
      <c r="O136">
        <v>5</v>
      </c>
      <c r="P136" t="s">
        <v>285</v>
      </c>
      <c r="Q136">
        <v>5</v>
      </c>
      <c r="T136">
        <f t="shared" si="2"/>
        <v>0</v>
      </c>
    </row>
    <row r="137" spans="14:20">
      <c r="N137" t="s">
        <v>286</v>
      </c>
      <c r="O137">
        <v>9</v>
      </c>
      <c r="P137" t="s">
        <v>286</v>
      </c>
      <c r="Q137">
        <v>9</v>
      </c>
      <c r="T137">
        <f t="shared" si="2"/>
        <v>0</v>
      </c>
    </row>
    <row r="138" spans="14:20">
      <c r="N138" t="s">
        <v>287</v>
      </c>
      <c r="O138">
        <v>8</v>
      </c>
      <c r="P138" t="s">
        <v>287</v>
      </c>
      <c r="Q138">
        <v>8</v>
      </c>
      <c r="T138">
        <f t="shared" si="2"/>
        <v>0</v>
      </c>
    </row>
    <row r="139" spans="14:20">
      <c r="N139" t="s">
        <v>288</v>
      </c>
      <c r="O139">
        <v>12</v>
      </c>
      <c r="P139" t="s">
        <v>288</v>
      </c>
      <c r="Q139">
        <v>12</v>
      </c>
      <c r="T139">
        <f t="shared" si="2"/>
        <v>0</v>
      </c>
    </row>
    <row r="140" spans="14:20">
      <c r="N140" t="s">
        <v>289</v>
      </c>
      <c r="O140">
        <v>14</v>
      </c>
      <c r="P140" t="s">
        <v>289</v>
      </c>
      <c r="Q140">
        <v>14</v>
      </c>
      <c r="T140">
        <f t="shared" si="2"/>
        <v>0</v>
      </c>
    </row>
    <row r="141" spans="14:20">
      <c r="N141" t="s">
        <v>290</v>
      </c>
      <c r="O141">
        <v>18</v>
      </c>
      <c r="P141" t="s">
        <v>290</v>
      </c>
      <c r="Q141">
        <v>18</v>
      </c>
      <c r="T141">
        <f t="shared" si="2"/>
        <v>0</v>
      </c>
    </row>
    <row r="142" spans="14:20">
      <c r="N142" t="s">
        <v>291</v>
      </c>
      <c r="O142">
        <v>20</v>
      </c>
      <c r="P142" t="s">
        <v>291</v>
      </c>
      <c r="Q142">
        <v>20</v>
      </c>
      <c r="T142">
        <f t="shared" si="2"/>
        <v>0</v>
      </c>
    </row>
    <row r="143" spans="14:20">
      <c r="N143" t="s">
        <v>292</v>
      </c>
      <c r="O143">
        <v>231</v>
      </c>
      <c r="P143" t="s">
        <v>292</v>
      </c>
      <c r="Q143">
        <v>198</v>
      </c>
      <c r="T143">
        <f t="shared" si="2"/>
        <v>33</v>
      </c>
    </row>
    <row r="144" spans="14:20">
      <c r="N144" t="s">
        <v>293</v>
      </c>
      <c r="O144">
        <v>233</v>
      </c>
      <c r="P144" t="s">
        <v>293</v>
      </c>
      <c r="Q144">
        <v>198</v>
      </c>
      <c r="T144">
        <f t="shared" si="2"/>
        <v>35</v>
      </c>
    </row>
    <row r="145" spans="14:20">
      <c r="N145" t="s">
        <v>294</v>
      </c>
      <c r="O145">
        <v>14</v>
      </c>
      <c r="P145" t="s">
        <v>294</v>
      </c>
      <c r="Q145">
        <v>8</v>
      </c>
      <c r="T145">
        <f t="shared" si="2"/>
        <v>6</v>
      </c>
    </row>
    <row r="146" spans="14:20">
      <c r="N146" t="s">
        <v>295</v>
      </c>
      <c r="O146">
        <v>16</v>
      </c>
      <c r="P146" t="s">
        <v>295</v>
      </c>
      <c r="Q146">
        <v>7</v>
      </c>
      <c r="T146">
        <f t="shared" si="2"/>
        <v>9</v>
      </c>
    </row>
    <row r="147" spans="14:20">
      <c r="N147" t="s">
        <v>296</v>
      </c>
      <c r="O147">
        <v>41</v>
      </c>
      <c r="P147" t="s">
        <v>296</v>
      </c>
      <c r="Q147">
        <v>8</v>
      </c>
      <c r="T147">
        <f t="shared" si="2"/>
        <v>33</v>
      </c>
    </row>
    <row r="148" spans="14:20">
      <c r="N148" t="s">
        <v>297</v>
      </c>
      <c r="O148">
        <v>43</v>
      </c>
      <c r="P148" t="s">
        <v>297</v>
      </c>
      <c r="Q148">
        <v>7</v>
      </c>
      <c r="T148">
        <f t="shared" si="2"/>
        <v>36</v>
      </c>
    </row>
    <row r="149" spans="14:20">
      <c r="N149" t="s">
        <v>298</v>
      </c>
      <c r="O149">
        <v>12</v>
      </c>
      <c r="P149" t="s">
        <v>298</v>
      </c>
      <c r="Q149">
        <v>12</v>
      </c>
      <c r="T149">
        <f t="shared" si="2"/>
        <v>0</v>
      </c>
    </row>
    <row r="150" spans="14:20">
      <c r="N150" t="s">
        <v>299</v>
      </c>
      <c r="O150">
        <v>14</v>
      </c>
      <c r="P150" t="s">
        <v>299</v>
      </c>
      <c r="Q150">
        <v>8</v>
      </c>
      <c r="T150">
        <f t="shared" si="2"/>
        <v>6</v>
      </c>
    </row>
    <row r="151" spans="14:20">
      <c r="N151" t="s">
        <v>300</v>
      </c>
      <c r="O151">
        <v>18</v>
      </c>
      <c r="P151" t="s">
        <v>300</v>
      </c>
      <c r="Q151">
        <v>9</v>
      </c>
      <c r="T151">
        <f t="shared" si="2"/>
        <v>9</v>
      </c>
    </row>
    <row r="152" spans="14:20">
      <c r="N152" t="s">
        <v>301</v>
      </c>
      <c r="O152">
        <v>19</v>
      </c>
      <c r="P152" t="s">
        <v>301</v>
      </c>
      <c r="Q152">
        <v>19</v>
      </c>
      <c r="T152">
        <f t="shared" si="2"/>
        <v>0</v>
      </c>
    </row>
    <row r="153" spans="14:20">
      <c r="N153" t="s">
        <v>137</v>
      </c>
      <c r="O153">
        <v>3</v>
      </c>
      <c r="P153" t="s">
        <v>137</v>
      </c>
      <c r="Q153">
        <v>3</v>
      </c>
      <c r="T153">
        <f t="shared" si="2"/>
        <v>0</v>
      </c>
    </row>
    <row r="154" spans="14:20">
      <c r="N154" t="s">
        <v>138</v>
      </c>
      <c r="O154">
        <v>3</v>
      </c>
      <c r="P154" t="s">
        <v>138</v>
      </c>
      <c r="Q154">
        <v>3</v>
      </c>
      <c r="T154">
        <f t="shared" si="2"/>
        <v>0</v>
      </c>
    </row>
    <row r="155" spans="14:20">
      <c r="N155" t="s">
        <v>302</v>
      </c>
      <c r="O155">
        <v>21</v>
      </c>
      <c r="P155" t="s">
        <v>302</v>
      </c>
      <c r="Q155">
        <v>21</v>
      </c>
      <c r="T155">
        <f t="shared" si="2"/>
        <v>0</v>
      </c>
    </row>
    <row r="156" spans="14:20">
      <c r="N156" t="s">
        <v>303</v>
      </c>
      <c r="O156">
        <v>23</v>
      </c>
      <c r="P156" t="s">
        <v>303</v>
      </c>
      <c r="Q156">
        <v>23</v>
      </c>
      <c r="T156">
        <f t="shared" si="2"/>
        <v>0</v>
      </c>
    </row>
    <row r="157" spans="14:20">
      <c r="N157" t="s">
        <v>304</v>
      </c>
      <c r="O157">
        <v>25</v>
      </c>
      <c r="P157" t="s">
        <v>304</v>
      </c>
      <c r="Q157">
        <v>25</v>
      </c>
      <c r="T157">
        <f t="shared" si="2"/>
        <v>0</v>
      </c>
    </row>
    <row r="158" spans="14:20">
      <c r="N158" t="s">
        <v>305</v>
      </c>
      <c r="O158">
        <v>13</v>
      </c>
      <c r="P158" t="s">
        <v>305</v>
      </c>
      <c r="Q158">
        <v>13</v>
      </c>
      <c r="T158">
        <f t="shared" si="2"/>
        <v>0</v>
      </c>
    </row>
    <row r="159" spans="14:20">
      <c r="N159" t="s">
        <v>306</v>
      </c>
      <c r="O159">
        <v>15</v>
      </c>
      <c r="P159" t="s">
        <v>306</v>
      </c>
      <c r="Q159">
        <v>15</v>
      </c>
      <c r="T159">
        <f t="shared" si="2"/>
        <v>0</v>
      </c>
    </row>
    <row r="160" spans="14:20">
      <c r="N160" t="s">
        <v>307</v>
      </c>
      <c r="O160">
        <v>4</v>
      </c>
      <c r="P160" t="s">
        <v>307</v>
      </c>
      <c r="Q160">
        <v>4</v>
      </c>
      <c r="T160">
        <f t="shared" si="2"/>
        <v>0</v>
      </c>
    </row>
    <row r="161" spans="14:20">
      <c r="N161" t="s">
        <v>308</v>
      </c>
      <c r="O161">
        <v>4</v>
      </c>
      <c r="P161" t="s">
        <v>308</v>
      </c>
      <c r="Q161">
        <v>4</v>
      </c>
      <c r="T161">
        <f t="shared" si="2"/>
        <v>0</v>
      </c>
    </row>
    <row r="162" spans="14:20">
      <c r="N162" t="s">
        <v>309</v>
      </c>
      <c r="O162">
        <v>25</v>
      </c>
      <c r="P162" t="s">
        <v>309</v>
      </c>
      <c r="Q162">
        <v>25</v>
      </c>
      <c r="T162">
        <f t="shared" si="2"/>
        <v>0</v>
      </c>
    </row>
    <row r="163" spans="14:20">
      <c r="N163" t="s">
        <v>310</v>
      </c>
      <c r="O163">
        <v>3</v>
      </c>
      <c r="P163" t="s">
        <v>310</v>
      </c>
      <c r="Q163">
        <v>3</v>
      </c>
      <c r="T163">
        <f t="shared" si="2"/>
        <v>0</v>
      </c>
    </row>
    <row r="164" spans="14:20">
      <c r="N164" t="s">
        <v>311</v>
      </c>
      <c r="O164">
        <v>44</v>
      </c>
      <c r="P164" t="s">
        <v>311</v>
      </c>
      <c r="Q164">
        <v>44</v>
      </c>
      <c r="T164">
        <f t="shared" si="2"/>
        <v>0</v>
      </c>
    </row>
    <row r="165" spans="14:20">
      <c r="N165" t="s">
        <v>312</v>
      </c>
      <c r="O165">
        <v>46</v>
      </c>
      <c r="P165" t="s">
        <v>312</v>
      </c>
      <c r="Q165">
        <v>46</v>
      </c>
      <c r="T165">
        <f t="shared" si="2"/>
        <v>0</v>
      </c>
    </row>
    <row r="166" spans="14:20">
      <c r="N166" t="s">
        <v>313</v>
      </c>
      <c r="O166">
        <v>15</v>
      </c>
      <c r="P166" t="s">
        <v>313</v>
      </c>
      <c r="Q166">
        <v>15</v>
      </c>
      <c r="T166">
        <f t="shared" si="2"/>
        <v>0</v>
      </c>
    </row>
    <row r="167" spans="14:20">
      <c r="N167" t="s">
        <v>314</v>
      </c>
      <c r="O167">
        <v>17</v>
      </c>
      <c r="P167" t="s">
        <v>314</v>
      </c>
      <c r="Q167">
        <v>17</v>
      </c>
      <c r="T167">
        <f t="shared" si="2"/>
        <v>0</v>
      </c>
    </row>
    <row r="168" spans="14:20">
      <c r="N168" t="s">
        <v>315</v>
      </c>
      <c r="O168">
        <v>8</v>
      </c>
      <c r="P168" t="s">
        <v>315</v>
      </c>
      <c r="Q168">
        <v>8</v>
      </c>
      <c r="T168">
        <f t="shared" si="2"/>
        <v>0</v>
      </c>
    </row>
    <row r="169" spans="14:20">
      <c r="N169" t="s">
        <v>316</v>
      </c>
      <c r="O169">
        <v>10</v>
      </c>
      <c r="P169" t="s">
        <v>316</v>
      </c>
      <c r="Q169">
        <v>10</v>
      </c>
      <c r="T169">
        <f t="shared" si="2"/>
        <v>0</v>
      </c>
    </row>
    <row r="170" spans="14:20">
      <c r="N170" t="s">
        <v>317</v>
      </c>
      <c r="O170">
        <v>59</v>
      </c>
      <c r="P170" t="s">
        <v>317</v>
      </c>
      <c r="Q170">
        <v>59</v>
      </c>
      <c r="T170">
        <f t="shared" si="2"/>
        <v>0</v>
      </c>
    </row>
    <row r="171" spans="14:20">
      <c r="N171" t="s">
        <v>318</v>
      </c>
      <c r="O171">
        <v>61</v>
      </c>
      <c r="P171" t="s">
        <v>318</v>
      </c>
      <c r="Q171">
        <v>61</v>
      </c>
      <c r="T171">
        <f t="shared" si="2"/>
        <v>0</v>
      </c>
    </row>
    <row r="172" spans="14:20">
      <c r="N172" t="s">
        <v>319</v>
      </c>
      <c r="O172">
        <v>2</v>
      </c>
      <c r="P172" t="s">
        <v>319</v>
      </c>
      <c r="Q172">
        <v>2</v>
      </c>
      <c r="T172">
        <f t="shared" si="2"/>
        <v>0</v>
      </c>
    </row>
    <row r="173" spans="14:20">
      <c r="N173" t="s">
        <v>320</v>
      </c>
      <c r="O173">
        <v>4</v>
      </c>
      <c r="P173" t="s">
        <v>320</v>
      </c>
      <c r="Q173">
        <v>4</v>
      </c>
      <c r="T173">
        <f t="shared" si="2"/>
        <v>0</v>
      </c>
    </row>
    <row r="174" spans="14:20">
      <c r="N174" t="s">
        <v>321</v>
      </c>
      <c r="O174">
        <v>10</v>
      </c>
      <c r="P174" t="s">
        <v>321</v>
      </c>
      <c r="Q174">
        <v>10</v>
      </c>
      <c r="T174">
        <f t="shared" si="2"/>
        <v>0</v>
      </c>
    </row>
    <row r="175" spans="14:20">
      <c r="N175" t="s">
        <v>322</v>
      </c>
      <c r="O175">
        <v>12</v>
      </c>
      <c r="P175" t="s">
        <v>322</v>
      </c>
      <c r="Q175">
        <v>12</v>
      </c>
      <c r="T175">
        <f t="shared" si="2"/>
        <v>0</v>
      </c>
    </row>
    <row r="176" spans="14:20">
      <c r="N176" t="s">
        <v>323</v>
      </c>
      <c r="O176">
        <v>12</v>
      </c>
      <c r="P176" t="s">
        <v>323</v>
      </c>
      <c r="Q176">
        <v>13</v>
      </c>
      <c r="T176">
        <f t="shared" si="2"/>
        <v>-1</v>
      </c>
    </row>
    <row r="177" spans="14:20">
      <c r="N177" t="s">
        <v>324</v>
      </c>
      <c r="O177">
        <v>14</v>
      </c>
      <c r="P177" t="s">
        <v>324</v>
      </c>
      <c r="Q177">
        <v>15</v>
      </c>
      <c r="T177">
        <f t="shared" si="2"/>
        <v>-1</v>
      </c>
    </row>
    <row r="178" spans="14:20">
      <c r="N178" t="s">
        <v>325</v>
      </c>
      <c r="O178">
        <v>41</v>
      </c>
      <c r="P178" t="s">
        <v>325</v>
      </c>
      <c r="Q178">
        <v>41</v>
      </c>
      <c r="T178">
        <f t="shared" si="2"/>
        <v>0</v>
      </c>
    </row>
    <row r="179" spans="14:20">
      <c r="N179" t="s">
        <v>327</v>
      </c>
      <c r="O179">
        <v>41</v>
      </c>
      <c r="P179" t="s">
        <v>326</v>
      </c>
      <c r="Q179">
        <v>9</v>
      </c>
      <c r="T179">
        <f t="shared" si="2"/>
        <v>32</v>
      </c>
    </row>
    <row r="180" spans="14:20">
      <c r="N180" t="s">
        <v>328</v>
      </c>
      <c r="O180">
        <v>43</v>
      </c>
      <c r="P180" t="s">
        <v>327</v>
      </c>
      <c r="Q180">
        <v>41</v>
      </c>
      <c r="T180">
        <f t="shared" si="2"/>
        <v>2</v>
      </c>
    </row>
    <row r="181" spans="14:20">
      <c r="N181" t="s">
        <v>326</v>
      </c>
      <c r="O181">
        <v>9</v>
      </c>
      <c r="P181" t="s">
        <v>328</v>
      </c>
      <c r="Q181">
        <v>43</v>
      </c>
      <c r="T181">
        <f t="shared" si="2"/>
        <v>-34</v>
      </c>
    </row>
    <row r="182" spans="14:20">
      <c r="N182" t="s">
        <v>329</v>
      </c>
      <c r="O182">
        <v>1</v>
      </c>
      <c r="P182" t="s">
        <v>329</v>
      </c>
      <c r="Q182">
        <v>1</v>
      </c>
      <c r="T182">
        <f t="shared" si="2"/>
        <v>0</v>
      </c>
    </row>
  </sheetData>
  <pageMargins left="0.7" right="0.7" top="0.75" bottom="0.75" header="0.3" footer="0.3"/>
  <pageSetup paperSize="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B35AE-239C-4849-8885-210211A8D6BF}">
  <dimension ref="A1:F8"/>
  <sheetViews>
    <sheetView workbookViewId="0">
      <selection activeCell="F8" sqref="F8"/>
    </sheetView>
  </sheetViews>
  <sheetFormatPr defaultRowHeight="14.4"/>
  <cols>
    <col min="1" max="1" width="13.77734375" bestFit="1" customWidth="1"/>
    <col min="5" max="5" width="11.21875" bestFit="1" customWidth="1"/>
    <col min="6" max="6" width="8.21875" customWidth="1"/>
  </cols>
  <sheetData>
    <row r="1" spans="1:6" s="2" customFormat="1">
      <c r="A1" s="2" t="s">
        <v>0</v>
      </c>
      <c r="B1" s="2" t="s">
        <v>1</v>
      </c>
      <c r="E1" s="2" t="s">
        <v>333</v>
      </c>
      <c r="F1" s="2" t="s">
        <v>156</v>
      </c>
    </row>
    <row r="2" spans="1:6">
      <c r="A2" t="s">
        <v>2</v>
      </c>
      <c r="B2">
        <v>119</v>
      </c>
      <c r="E2" t="s">
        <v>168</v>
      </c>
      <c r="F2">
        <v>15</v>
      </c>
    </row>
    <row r="3" spans="1:6">
      <c r="A3" t="s">
        <v>5</v>
      </c>
      <c r="B3">
        <v>4</v>
      </c>
      <c r="E3" t="s">
        <v>2</v>
      </c>
      <c r="F3">
        <v>114</v>
      </c>
    </row>
    <row r="4" spans="1:6">
      <c r="A4" t="s">
        <v>6</v>
      </c>
      <c r="B4">
        <v>4</v>
      </c>
      <c r="E4" t="s">
        <v>7</v>
      </c>
      <c r="F4">
        <v>22</v>
      </c>
    </row>
    <row r="5" spans="1:6">
      <c r="A5" t="s">
        <v>8</v>
      </c>
      <c r="B5">
        <v>2</v>
      </c>
      <c r="E5" t="s">
        <v>8</v>
      </c>
      <c r="F5">
        <v>2</v>
      </c>
    </row>
    <row r="6" spans="1:6">
      <c r="A6" t="s">
        <v>9</v>
      </c>
      <c r="B6">
        <v>50</v>
      </c>
      <c r="E6" t="s">
        <v>9</v>
      </c>
      <c r="F6">
        <v>50</v>
      </c>
    </row>
    <row r="7" spans="1:6">
      <c r="A7" t="s">
        <v>12</v>
      </c>
      <c r="B7">
        <v>2</v>
      </c>
      <c r="E7" t="s">
        <v>12</v>
      </c>
      <c r="F7">
        <v>2</v>
      </c>
    </row>
    <row r="8" spans="1:6">
      <c r="A8" t="s">
        <v>13</v>
      </c>
      <c r="B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ESCRIBE</vt:lpstr>
      <vt:lpstr>DIB</vt:lpstr>
      <vt:lpstr>DIB3</vt:lpstr>
      <vt:lpstr>DIB3_1</vt:lpstr>
      <vt:lpstr>DIB3_2</vt:lpstr>
      <vt:lpstr>DIB3_AUX</vt:lpstr>
      <vt:lpstr>DIB5_1</vt:lpstr>
      <vt:lpstr>DIB5_2</vt:lpstr>
      <vt:lpstr>DIB5_AUX</vt:lpstr>
      <vt:lpstr>PBC</vt:lpstr>
      <vt:lpstr>WL_DIB</vt:lpstr>
      <vt:lpstr>WL_ESCRIBE</vt:lpstr>
      <vt:lpstr>WL_DIB3</vt:lpstr>
      <vt:lpstr>WL_DIB5</vt:lpstr>
      <vt:lpstr>WL_EPHARMACY</vt:lpstr>
      <vt:lpstr>Epharm_inventory</vt:lpstr>
      <vt:lpstr>dependency</vt:lpstr>
      <vt:lpstr>Sheet3</vt:lpstr>
      <vt:lpstr>SBMO</vt:lpstr>
      <vt:lpstr>Dep-SBMO</vt:lpstr>
      <vt:lpstr>sbmo_dep_roles</vt:lpstr>
      <vt:lpstr>EPS1608</vt:lpstr>
      <vt:lpstr>Sheet2</vt:lpstr>
      <vt:lpstr>EPS</vt:lpstr>
      <vt:lpstr>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Nedunuri, Chandra Mouli</dc:creator>
  <cp:lastModifiedBy>Nedunuri, Chandra Mouli</cp:lastModifiedBy>
  <dcterms:created xsi:type="dcterms:W3CDTF">2015-06-05T18:17:20Z</dcterms:created>
  <dcterms:modified xsi:type="dcterms:W3CDTF">2026-09-09T06:55:26Z</dcterms:modified>
</cp:coreProperties>
</file>